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ohijeagbon\Documents\PUBLICATION IN PROGRESS\PUBLICATION IN PROGRESS_2026\Paper 2_Steady-State Variable-Load Operational Dataset--\Revised_Repository\"/>
    </mc:Choice>
  </mc:AlternateContent>
  <bookViews>
    <workbookView xWindow="0" yWindow="0" windowWidth="15345" windowHeight="6705" activeTab="2"/>
  </bookViews>
  <sheets>
    <sheet name="Table1_Coal_Analysis" sheetId="1" r:id="rId1"/>
    <sheet name="Table2_FlueGas_Composition" sheetId="2" r:id="rId2"/>
    <sheet name="Table3_Massflow_Temp" sheetId="3" r:id="rId3"/>
    <sheet name="Table4_WaterStream_Circuit" sheetId="4" r:id="rId4"/>
    <sheet name="Table5_Enthalpy_Entropy_Exergy" sheetId="5" r:id="rId5"/>
  </sheets>
  <calcPr calcId="162913"/>
</workbook>
</file>

<file path=xl/calcChain.xml><?xml version="1.0" encoding="utf-8"?>
<calcChain xmlns="http://schemas.openxmlformats.org/spreadsheetml/2006/main">
  <c r="X26" i="5" l="1"/>
  <c r="AA26" i="5" s="1"/>
  <c r="V26" i="5"/>
  <c r="Z26" i="5" s="1"/>
  <c r="T26" i="5"/>
  <c r="Y26" i="5" s="1"/>
  <c r="X25" i="5"/>
  <c r="AA25" i="5" s="1"/>
  <c r="V25" i="5"/>
  <c r="Z25" i="5" s="1"/>
  <c r="T25" i="5"/>
  <c r="Y25" i="5" s="1"/>
  <c r="AA24" i="5"/>
  <c r="X24" i="5"/>
  <c r="V24" i="5"/>
  <c r="Z24" i="5" s="1"/>
  <c r="T24" i="5"/>
  <c r="Y24" i="5" s="1"/>
  <c r="Z23" i="5"/>
  <c r="Y23" i="5"/>
  <c r="X23" i="5"/>
  <c r="AA23" i="5" s="1"/>
  <c r="V23" i="5"/>
  <c r="T23" i="5"/>
  <c r="AA22" i="5"/>
  <c r="X22" i="5"/>
  <c r="V22" i="5"/>
  <c r="Z22" i="5" s="1"/>
  <c r="T22" i="5"/>
  <c r="Y22" i="5" s="1"/>
  <c r="Y21" i="5"/>
  <c r="X21" i="5"/>
  <c r="AA21" i="5" s="1"/>
  <c r="V21" i="5"/>
  <c r="Z21" i="5" s="1"/>
  <c r="T21" i="5"/>
  <c r="AA20" i="5"/>
  <c r="X20" i="5"/>
  <c r="V20" i="5"/>
  <c r="Z20" i="5" s="1"/>
  <c r="T20" i="5"/>
  <c r="Y20" i="5" s="1"/>
  <c r="Z19" i="5"/>
  <c r="Y19" i="5"/>
  <c r="X19" i="5"/>
  <c r="AA19" i="5" s="1"/>
  <c r="V19" i="5"/>
  <c r="T19" i="5"/>
  <c r="AA18" i="5"/>
  <c r="X18" i="5"/>
  <c r="V18" i="5"/>
  <c r="Z18" i="5" s="1"/>
  <c r="T18" i="5"/>
  <c r="Y18" i="5" s="1"/>
  <c r="Z17" i="5"/>
  <c r="Y17" i="5"/>
  <c r="X17" i="5"/>
  <c r="AA17" i="5" s="1"/>
  <c r="V17" i="5"/>
  <c r="T17" i="5"/>
  <c r="V16" i="5"/>
  <c r="Z16" i="5" s="1"/>
  <c r="R16" i="5"/>
  <c r="Q16" i="5"/>
  <c r="P16" i="5"/>
  <c r="T16" i="5" s="1"/>
  <c r="Y16" i="5" s="1"/>
  <c r="O16" i="5"/>
  <c r="X16" i="5" s="1"/>
  <c r="AA16" i="5" s="1"/>
  <c r="N16" i="5"/>
  <c r="M16" i="5"/>
  <c r="V15" i="5"/>
  <c r="Z15" i="5" s="1"/>
  <c r="R15" i="5"/>
  <c r="Q15" i="5"/>
  <c r="P15" i="5"/>
  <c r="T15" i="5" s="1"/>
  <c r="Y15" i="5" s="1"/>
  <c r="O15" i="5"/>
  <c r="X15" i="5" s="1"/>
  <c r="AA15" i="5" s="1"/>
  <c r="N15" i="5"/>
  <c r="M15" i="5"/>
  <c r="W14" i="5"/>
  <c r="AA14" i="5" s="1"/>
  <c r="U14" i="5"/>
  <c r="S14" i="5"/>
  <c r="R14" i="5"/>
  <c r="Q14" i="5"/>
  <c r="P14" i="5"/>
  <c r="O14" i="5"/>
  <c r="X14" i="5" s="1"/>
  <c r="N14" i="5"/>
  <c r="V14" i="5" s="1"/>
  <c r="M14" i="5"/>
  <c r="T14" i="5" s="1"/>
  <c r="J25" i="2"/>
  <c r="G25" i="2"/>
  <c r="E25" i="2"/>
  <c r="D25" i="2"/>
  <c r="K24" i="2"/>
  <c r="L24" i="2" s="1"/>
  <c r="H24" i="2"/>
  <c r="I24" i="2" s="1"/>
  <c r="F24" i="2"/>
  <c r="E24" i="2"/>
  <c r="L23" i="2"/>
  <c r="K23" i="2"/>
  <c r="H23" i="2"/>
  <c r="I23" i="2" s="1"/>
  <c r="E23" i="2"/>
  <c r="F23" i="2" s="1"/>
  <c r="L22" i="2"/>
  <c r="K22" i="2"/>
  <c r="I22" i="2"/>
  <c r="H22" i="2"/>
  <c r="E22" i="2"/>
  <c r="F22" i="2" s="1"/>
  <c r="K21" i="2"/>
  <c r="L21" i="2" s="1"/>
  <c r="I21" i="2"/>
  <c r="H21" i="2"/>
  <c r="F21" i="2"/>
  <c r="E21" i="2"/>
  <c r="K20" i="2"/>
  <c r="K25" i="2" s="1"/>
  <c r="H20" i="2"/>
  <c r="I20" i="2" s="1"/>
  <c r="I25" i="2" s="1"/>
  <c r="F20" i="2"/>
  <c r="E20" i="2"/>
  <c r="K14" i="2"/>
  <c r="I14" i="2"/>
  <c r="G14" i="2"/>
  <c r="J14" i="1"/>
  <c r="J13" i="1"/>
  <c r="J12" i="1"/>
  <c r="J11" i="1"/>
  <c r="J10" i="1"/>
  <c r="Y14" i="5" l="1"/>
  <c r="F25" i="2"/>
  <c r="Z14" i="5"/>
  <c r="H25" i="2"/>
  <c r="L20" i="2"/>
  <c r="L25" i="2" s="1"/>
</calcChain>
</file>

<file path=xl/sharedStrings.xml><?xml version="1.0" encoding="utf-8"?>
<sst xmlns="http://schemas.openxmlformats.org/spreadsheetml/2006/main" count="117" uniqueCount="75">
  <si>
    <t>Table 1: Coal analysis</t>
  </si>
  <si>
    <t>Proximate analysis</t>
  </si>
  <si>
    <t>Ultimate analysis</t>
  </si>
  <si>
    <t>Mass fraction</t>
  </si>
  <si>
    <t>Molar mass</t>
  </si>
  <si>
    <t xml:space="preserve">Standard entropy </t>
  </si>
  <si>
    <t xml:space="preserve">Atomic ratios </t>
  </si>
  <si>
    <t>Component</t>
  </si>
  <si>
    <t xml:space="preserve">Value </t>
  </si>
  <si>
    <t>Element</t>
  </si>
  <si>
    <t xml:space="preserve"> </t>
  </si>
  <si>
    <t>(%)</t>
  </si>
  <si>
    <t>Moisture</t>
  </si>
  <si>
    <t>Carbon ( C)</t>
  </si>
  <si>
    <t>Volatile matter</t>
  </si>
  <si>
    <t>Hydrogen (H)</t>
  </si>
  <si>
    <t>Fixed carbon</t>
  </si>
  <si>
    <t>Oxygen (O)</t>
  </si>
  <si>
    <t>Ash content</t>
  </si>
  <si>
    <t>Sulphur (S)</t>
  </si>
  <si>
    <t>Nitrogen (N)</t>
  </si>
  <si>
    <t xml:space="preserve">Ash content </t>
  </si>
  <si>
    <t>—</t>
  </si>
  <si>
    <t>Stoichiometric</t>
  </si>
  <si>
    <t>43% Excess Air</t>
  </si>
  <si>
    <t>48% Excess Air</t>
  </si>
  <si>
    <t>(kmol/kmol)</t>
  </si>
  <si>
    <t>Total</t>
  </si>
  <si>
    <t>Mfg=</t>
  </si>
  <si>
    <t>Table 2: Flue gas composition</t>
  </si>
  <si>
    <t>Species</t>
  </si>
  <si>
    <t>(                      )</t>
  </si>
  <si>
    <t>Note: SO2 (molar mass 64) is retained in this worksheet at a quantified mole fraction of 0.07% (43% EA) and 0.06% (48% EA); its contribution to bulk flue-gas properties is negligible and is not separately propagated in Table5_Enthalpy_Entropy_Exergy.</t>
  </si>
  <si>
    <t>Table 3: Thermodynamic state points of flue gas: temperature and mass flow rate</t>
  </si>
  <si>
    <t>State point</t>
  </si>
  <si>
    <t>Substances/location</t>
  </si>
  <si>
    <t>Temperature</t>
  </si>
  <si>
    <t>Mass flow rate</t>
  </si>
  <si>
    <t>(℃)</t>
  </si>
  <si>
    <t>(kg/s)</t>
  </si>
  <si>
    <t>Load (L1=70.73%, L2=92.65%, L3=100%)</t>
  </si>
  <si>
    <t>Coal/air mixture temperature at combustion (grate)</t>
  </si>
  <si>
    <t>Preheated air supply</t>
  </si>
  <si>
    <t>Combustion residues</t>
  </si>
  <si>
    <t>Combustion flue gas leaving the furnace/to evaporator and superheaters</t>
  </si>
  <si>
    <t>Flue gas leaving the superheaters</t>
  </si>
  <si>
    <t>Flue gas entering the economizer</t>
  </si>
  <si>
    <t>Flue gas leaving the economizer</t>
  </si>
  <si>
    <t>Exhaust flue gas</t>
  </si>
  <si>
    <t>Note: Row 1 records the coal/air mixture temperature at the point of combustion, which equals the preheated-air-supply temperature (Row 2), the temperature that actually sets the combustion inlet condition; the air heater (cold) inlet is a constant 38°C across all loads.</t>
  </si>
  <si>
    <t>Table 4: Water-steam circuit thermodynamic properties</t>
  </si>
  <si>
    <t>S/no.</t>
  </si>
  <si>
    <t>Pressure</t>
  </si>
  <si>
    <t>(MPa)</t>
  </si>
  <si>
    <t>Load (%):</t>
  </si>
  <si>
    <t>Deaerated feedwater entering the economizer (compressed)</t>
  </si>
  <si>
    <t>Heated feedwater leaving the economizer</t>
  </si>
  <si>
    <t>Saturated feedwater entering the evaporator</t>
  </si>
  <si>
    <t>Saturated steam leaving the evaporator, at the superheaters' inlet</t>
  </si>
  <si>
    <t>Superheated steam leaving the superheaters</t>
  </si>
  <si>
    <t xml:space="preserve">for feedwater and steam </t>
  </si>
  <si>
    <t>ho = s0 = 0</t>
  </si>
  <si>
    <t>To =298 K</t>
  </si>
  <si>
    <t>Table 5: Evaluation of Enthalpy, entropy and exergy</t>
  </si>
  <si>
    <t>MCR (%)</t>
  </si>
  <si>
    <t>Enthalpy</t>
  </si>
  <si>
    <t>Entropy</t>
  </si>
  <si>
    <t>Exergy</t>
  </si>
  <si>
    <t>Total Exergy</t>
  </si>
  <si>
    <t>(kJ/kg)</t>
  </si>
  <si>
    <t>(kJ/kg.K)</t>
  </si>
  <si>
    <t>Chemical</t>
  </si>
  <si>
    <t>Physical</t>
  </si>
  <si>
    <t>Subcooled</t>
  </si>
  <si>
    <t>Psat=1-1.3MPa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</si>
</sst>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1F1F1F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7" xfId="0" applyFont="1" applyBorder="1" applyAlignment="1">
      <alignment vertical="top" wrapText="1"/>
    </xf>
    <xf numFmtId="2" fontId="0" fillId="0" borderId="0" xfId="0" applyNumberForma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0" xfId="0" applyBorder="1"/>
    <xf numFmtId="0" fontId="0" fillId="0" borderId="9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7" fillId="0" borderId="0" xfId="0" applyFont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0" fontId="2" fillId="0" borderId="0" xfId="0" applyFont="1"/>
    <xf numFmtId="0" fontId="8" fillId="0" borderId="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0" borderId="17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2" fontId="11" fillId="0" borderId="8" xfId="0" applyNumberFormat="1" applyFont="1" applyBorder="1" applyAlignment="1">
      <alignment vertical="center" wrapText="1"/>
    </xf>
    <xf numFmtId="2" fontId="11" fillId="0" borderId="17" xfId="0" applyNumberFormat="1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2" fontId="11" fillId="0" borderId="11" xfId="0" applyNumberFormat="1" applyFont="1" applyBorder="1" applyAlignment="1">
      <alignment vertical="center" wrapText="1"/>
    </xf>
    <xf numFmtId="2" fontId="11" fillId="0" borderId="18" xfId="0" applyNumberFormat="1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2" fontId="11" fillId="0" borderId="23" xfId="0" applyNumberFormat="1" applyFont="1" applyBorder="1" applyAlignment="1">
      <alignment vertical="center" wrapText="1"/>
    </xf>
    <xf numFmtId="2" fontId="11" fillId="0" borderId="24" xfId="0" applyNumberFormat="1" applyFont="1" applyBorder="1" applyAlignment="1">
      <alignment vertical="center" wrapText="1"/>
    </xf>
    <xf numFmtId="0" fontId="2" fillId="0" borderId="2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2" fontId="11" fillId="0" borderId="8" xfId="0" applyNumberFormat="1" applyFont="1" applyBorder="1"/>
    <xf numFmtId="2" fontId="11" fillId="0" borderId="17" xfId="0" applyNumberFormat="1" applyFont="1" applyBorder="1"/>
    <xf numFmtId="2" fontId="11" fillId="0" borderId="0" xfId="0" applyNumberFormat="1" applyFont="1" applyAlignment="1">
      <alignment horizontal="center" vertical="center" wrapText="1"/>
    </xf>
    <xf numFmtId="2" fontId="11" fillId="0" borderId="6" xfId="0" applyNumberFormat="1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2" fontId="11" fillId="0" borderId="28" xfId="0" applyNumberFormat="1" applyFont="1" applyBorder="1" applyAlignment="1">
      <alignment vertical="center" wrapText="1"/>
    </xf>
    <xf numFmtId="2" fontId="11" fillId="0" borderId="29" xfId="0" applyNumberFormat="1" applyFont="1" applyBorder="1" applyAlignment="1">
      <alignment vertical="center" wrapText="1"/>
    </xf>
    <xf numFmtId="0" fontId="2" fillId="0" borderId="30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0" fillId="0" borderId="7" xfId="0" applyBorder="1"/>
    <xf numFmtId="0" fontId="8" fillId="0" borderId="7" xfId="0" applyFont="1" applyBorder="1" applyAlignment="1">
      <alignment horizontal="center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4" fontId="2" fillId="0" borderId="8" xfId="0" applyNumberFormat="1" applyFont="1" applyBorder="1"/>
    <xf numFmtId="4" fontId="2" fillId="0" borderId="14" xfId="0" applyNumberFormat="1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7" fillId="0" borderId="0" xfId="0" applyNumberFormat="1" applyFont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166" fontId="2" fillId="0" borderId="8" xfId="0" applyNumberFormat="1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65" fontId="11" fillId="0" borderId="4" xfId="0" applyNumberFormat="1" applyFont="1" applyBorder="1" applyAlignment="1">
      <alignment horizontal="center" vertical="center" wrapText="1"/>
    </xf>
    <xf numFmtId="165" fontId="11" fillId="0" borderId="6" xfId="0" applyNumberFormat="1" applyFont="1" applyBorder="1" applyAlignment="1">
      <alignment horizontal="center" vertical="center" wrapText="1"/>
    </xf>
    <xf numFmtId="165" fontId="11" fillId="0" borderId="2" xfId="0" applyNumberFormat="1" applyFont="1" applyBorder="1" applyAlignment="1">
      <alignment horizontal="center" vertical="center" wrapText="1"/>
    </xf>
    <xf numFmtId="165" fontId="11" fillId="0" borderId="20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0" xfId="0" applyAlignment="1">
      <alignment horizont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/>
    <xf numFmtId="0" fontId="2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0" fillId="0" borderId="5" xfId="0" applyBorder="1"/>
    <xf numFmtId="0" fontId="0" fillId="0" borderId="0" xfId="0" applyAlignment="1">
      <alignment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0" fillId="0" borderId="9" xfId="0" applyBorder="1"/>
    <xf numFmtId="0" fontId="8" fillId="0" borderId="32" xfId="0" applyFont="1" applyBorder="1" applyAlignment="1">
      <alignment horizontal="center" vertical="center" wrapText="1"/>
    </xf>
    <xf numFmtId="0" fontId="0" fillId="0" borderId="15" xfId="0" applyBorder="1"/>
    <xf numFmtId="0" fontId="0" fillId="0" borderId="21" xfId="0" applyBorder="1"/>
    <xf numFmtId="0" fontId="1" fillId="0" borderId="16" xfId="0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0" fillId="0" borderId="31" xfId="0" applyBorder="1"/>
    <xf numFmtId="0" fontId="10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2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19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12" Type="http://schemas.openxmlformats.org/officeDocument/2006/relationships/image" Target="../media/image18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3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Relationship Id="rId14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8</xdr:row>
      <xdr:rowOff>28575</xdr:rowOff>
    </xdr:from>
    <xdr:to>
      <xdr:col>6</xdr:col>
      <xdr:colOff>447675</xdr:colOff>
      <xdr:row>8</xdr:row>
      <xdr:rowOff>209550</xdr:rowOff>
    </xdr:to>
    <xdr:pic>
      <xdr:nvPicPr>
        <xdr:cNvPr id="35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52950" y="1095375"/>
          <a:ext cx="266700" cy="1809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7</xdr:col>
      <xdr:colOff>247650</xdr:colOff>
      <xdr:row>7</xdr:row>
      <xdr:rowOff>38100</xdr:rowOff>
    </xdr:from>
    <xdr:to>
      <xdr:col>7</xdr:col>
      <xdr:colOff>523875</xdr:colOff>
      <xdr:row>7</xdr:row>
      <xdr:rowOff>219075</xdr:rowOff>
    </xdr:to>
    <xdr:pic>
      <xdr:nvPicPr>
        <xdr:cNvPr id="36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267325" y="857250"/>
          <a:ext cx="276225" cy="1809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7</xdr:col>
      <xdr:colOff>38100</xdr:colOff>
      <xdr:row>8</xdr:row>
      <xdr:rowOff>38100</xdr:rowOff>
    </xdr:from>
    <xdr:to>
      <xdr:col>7</xdr:col>
      <xdr:colOff>704850</xdr:colOff>
      <xdr:row>8</xdr:row>
      <xdr:rowOff>219075</xdr:rowOff>
    </xdr:to>
    <xdr:pic>
      <xdr:nvPicPr>
        <xdr:cNvPr id="37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057775" y="1104900"/>
          <a:ext cx="666750" cy="1809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8</xdr:col>
      <xdr:colOff>457200</xdr:colOff>
      <xdr:row>7</xdr:row>
      <xdr:rowOff>38100</xdr:rowOff>
    </xdr:from>
    <xdr:to>
      <xdr:col>8</xdr:col>
      <xdr:colOff>695325</xdr:colOff>
      <xdr:row>7</xdr:row>
      <xdr:rowOff>219075</xdr:rowOff>
    </xdr:to>
    <xdr:pic>
      <xdr:nvPicPr>
        <xdr:cNvPr id="38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210300" y="857250"/>
          <a:ext cx="238125" cy="1809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8</xdr:col>
      <xdr:colOff>171450</xdr:colOff>
      <xdr:row>8</xdr:row>
      <xdr:rowOff>38100</xdr:rowOff>
    </xdr:from>
    <xdr:to>
      <xdr:col>8</xdr:col>
      <xdr:colOff>1009650</xdr:colOff>
      <xdr:row>8</xdr:row>
      <xdr:rowOff>219075</xdr:rowOff>
    </xdr:to>
    <xdr:pic>
      <xdr:nvPicPr>
        <xdr:cNvPr id="39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924550" y="1104900"/>
          <a:ext cx="838200" cy="1809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9</xdr:col>
      <xdr:colOff>333375</xdr:colOff>
      <xdr:row>7</xdr:row>
      <xdr:rowOff>38100</xdr:rowOff>
    </xdr:from>
    <xdr:to>
      <xdr:col>9</xdr:col>
      <xdr:colOff>657225</xdr:colOff>
      <xdr:row>7</xdr:row>
      <xdr:rowOff>219075</xdr:rowOff>
    </xdr:to>
    <xdr:pic>
      <xdr:nvPicPr>
        <xdr:cNvPr id="40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7267575" y="857250"/>
          <a:ext cx="323850" cy="1809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8</xdr:col>
      <xdr:colOff>333375</xdr:colOff>
      <xdr:row>2</xdr:row>
      <xdr:rowOff>47625</xdr:rowOff>
    </xdr:from>
    <xdr:to>
      <xdr:col>9</xdr:col>
      <xdr:colOff>904875</xdr:colOff>
      <xdr:row>4</xdr:row>
      <xdr:rowOff>85725</xdr:rowOff>
    </xdr:to>
    <xdr:pic>
      <xdr:nvPicPr>
        <xdr:cNvPr id="41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6086475" y="428625"/>
          <a:ext cx="1752600" cy="4191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18</xdr:row>
      <xdr:rowOff>0</xdr:rowOff>
    </xdr:from>
    <xdr:to>
      <xdr:col>4</xdr:col>
      <xdr:colOff>523875</xdr:colOff>
      <xdr:row>19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00375" y="3248025"/>
          <a:ext cx="323850" cy="190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257175</xdr:colOff>
      <xdr:row>20</xdr:row>
      <xdr:rowOff>0</xdr:rowOff>
    </xdr:to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19200" y="3438525"/>
          <a:ext cx="257175" cy="2000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276225</xdr:colOff>
      <xdr:row>21</xdr:row>
      <xdr:rowOff>0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19200" y="3638550"/>
          <a:ext cx="276225" cy="2000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247650</xdr:colOff>
      <xdr:row>22</xdr:row>
      <xdr:rowOff>0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219200" y="3838575"/>
          <a:ext cx="247650" cy="2000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23</xdr:row>
      <xdr:rowOff>0</xdr:rowOff>
    </xdr:to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219200" y="4038600"/>
          <a:ext cx="161925" cy="2000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171450</xdr:colOff>
      <xdr:row>24</xdr:row>
      <xdr:rowOff>0</xdr:rowOff>
    </xdr:to>
    <xdr:pic>
      <xdr:nvPicPr>
        <xdr:cNvPr id="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219200" y="4238625"/>
          <a:ext cx="171450" cy="2095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7</xdr:col>
      <xdr:colOff>200025</xdr:colOff>
      <xdr:row>18</xdr:row>
      <xdr:rowOff>0</xdr:rowOff>
    </xdr:from>
    <xdr:to>
      <xdr:col>7</xdr:col>
      <xdr:colOff>523875</xdr:colOff>
      <xdr:row>19</xdr:row>
      <xdr:rowOff>0</xdr:rowOff>
    </xdr:to>
    <xdr:pic>
      <xdr:nvPicPr>
        <xdr:cNvPr id="2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62650" y="3248025"/>
          <a:ext cx="323850" cy="190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10</xdr:col>
      <xdr:colOff>200025</xdr:colOff>
      <xdr:row>18</xdr:row>
      <xdr:rowOff>0</xdr:rowOff>
    </xdr:from>
    <xdr:to>
      <xdr:col>10</xdr:col>
      <xdr:colOff>523875</xdr:colOff>
      <xdr:row>19</xdr:row>
      <xdr:rowOff>0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877300" y="3248025"/>
          <a:ext cx="323850" cy="190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5</xdr:col>
      <xdr:colOff>371475</xdr:colOff>
      <xdr:row>18</xdr:row>
      <xdr:rowOff>0</xdr:rowOff>
    </xdr:from>
    <xdr:to>
      <xdr:col>5</xdr:col>
      <xdr:colOff>514350</xdr:colOff>
      <xdr:row>18</xdr:row>
      <xdr:rowOff>180975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162425" y="3248025"/>
          <a:ext cx="142875" cy="1809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8</xdr:col>
      <xdr:colOff>438150</xdr:colOff>
      <xdr:row>18</xdr:row>
      <xdr:rowOff>0</xdr:rowOff>
    </xdr:from>
    <xdr:to>
      <xdr:col>8</xdr:col>
      <xdr:colOff>581025</xdr:colOff>
      <xdr:row>18</xdr:row>
      <xdr:rowOff>180975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181850" y="3248025"/>
          <a:ext cx="142875" cy="1809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314325</xdr:colOff>
      <xdr:row>17</xdr:row>
      <xdr:rowOff>0</xdr:rowOff>
    </xdr:from>
    <xdr:to>
      <xdr:col>1</xdr:col>
      <xdr:colOff>485775</xdr:colOff>
      <xdr:row>18</xdr:row>
      <xdr:rowOff>0</xdr:rowOff>
    </xdr:to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923925" y="1533525"/>
          <a:ext cx="171450" cy="190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11</xdr:col>
      <xdr:colOff>438150</xdr:colOff>
      <xdr:row>18</xdr:row>
      <xdr:rowOff>0</xdr:rowOff>
    </xdr:from>
    <xdr:to>
      <xdr:col>11</xdr:col>
      <xdr:colOff>581025</xdr:colOff>
      <xdr:row>18</xdr:row>
      <xdr:rowOff>180975</xdr:rowOff>
    </xdr:to>
    <xdr:pic>
      <xdr:nvPicPr>
        <xdr:cNvPr id="31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0058400" y="3248025"/>
          <a:ext cx="142875" cy="1809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4</xdr:col>
      <xdr:colOff>0</xdr:colOff>
      <xdr:row>1</xdr:row>
      <xdr:rowOff>66675</xdr:rowOff>
    </xdr:from>
    <xdr:to>
      <xdr:col>4</xdr:col>
      <xdr:colOff>800100</xdr:colOff>
      <xdr:row>3</xdr:row>
      <xdr:rowOff>114300</xdr:rowOff>
    </xdr:to>
    <xdr:pic>
      <xdr:nvPicPr>
        <xdr:cNvPr id="32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981325" y="257175"/>
          <a:ext cx="800100" cy="4286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6</xdr:col>
      <xdr:colOff>0</xdr:colOff>
      <xdr:row>1</xdr:row>
      <xdr:rowOff>66675</xdr:rowOff>
    </xdr:from>
    <xdr:to>
      <xdr:col>11</xdr:col>
      <xdr:colOff>742950</xdr:colOff>
      <xdr:row>2</xdr:row>
      <xdr:rowOff>76200</xdr:rowOff>
    </xdr:to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762500" y="257175"/>
          <a:ext cx="5286375" cy="2000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85725</xdr:colOff>
      <xdr:row>18</xdr:row>
      <xdr:rowOff>0</xdr:rowOff>
    </xdr:from>
    <xdr:to>
      <xdr:col>1</xdr:col>
      <xdr:colOff>752475</xdr:colOff>
      <xdr:row>18</xdr:row>
      <xdr:rowOff>180975</xdr:rowOff>
    </xdr:to>
    <xdr:pic>
      <xdr:nvPicPr>
        <xdr:cNvPr id="34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695325" y="1724025"/>
          <a:ext cx="666750" cy="1809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6</xdr:col>
      <xdr:colOff>0</xdr:colOff>
      <xdr:row>2</xdr:row>
      <xdr:rowOff>171450</xdr:rowOff>
    </xdr:from>
    <xdr:to>
      <xdr:col>7</xdr:col>
      <xdr:colOff>47625</xdr:colOff>
      <xdr:row>4</xdr:row>
      <xdr:rowOff>114300</xdr:rowOff>
    </xdr:to>
    <xdr:pic>
      <xdr:nvPicPr>
        <xdr:cNvPr id="35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4762500" y="552450"/>
          <a:ext cx="971550" cy="3238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6</xdr:col>
      <xdr:colOff>323850</xdr:colOff>
      <xdr:row>6</xdr:row>
      <xdr:rowOff>19050</xdr:rowOff>
    </xdr:from>
    <xdr:to>
      <xdr:col>6</xdr:col>
      <xdr:colOff>647700</xdr:colOff>
      <xdr:row>7</xdr:row>
      <xdr:rowOff>0</xdr:rowOff>
    </xdr:to>
    <xdr:pic>
      <xdr:nvPicPr>
        <xdr:cNvPr id="36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05375" y="5743575"/>
          <a:ext cx="285750" cy="1809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3</xdr:col>
      <xdr:colOff>257175</xdr:colOff>
      <xdr:row>8</xdr:row>
      <xdr:rowOff>0</xdr:rowOff>
    </xdr:from>
    <xdr:to>
      <xdr:col>3</xdr:col>
      <xdr:colOff>514350</xdr:colOff>
      <xdr:row>8</xdr:row>
      <xdr:rowOff>190500</xdr:rowOff>
    </xdr:to>
    <xdr:pic>
      <xdr:nvPicPr>
        <xdr:cNvPr id="37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6124575"/>
          <a:ext cx="257175" cy="190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3</xdr:col>
      <xdr:colOff>257175</xdr:colOff>
      <xdr:row>9</xdr:row>
      <xdr:rowOff>0</xdr:rowOff>
    </xdr:from>
    <xdr:to>
      <xdr:col>3</xdr:col>
      <xdr:colOff>533400</xdr:colOff>
      <xdr:row>9</xdr:row>
      <xdr:rowOff>190500</xdr:rowOff>
    </xdr:to>
    <xdr:pic>
      <xdr:nvPicPr>
        <xdr:cNvPr id="38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66775" y="6324600"/>
          <a:ext cx="276225" cy="190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3</xdr:col>
      <xdr:colOff>257175</xdr:colOff>
      <xdr:row>10</xdr:row>
      <xdr:rowOff>0</xdr:rowOff>
    </xdr:from>
    <xdr:to>
      <xdr:col>3</xdr:col>
      <xdr:colOff>419100</xdr:colOff>
      <xdr:row>10</xdr:row>
      <xdr:rowOff>190500</xdr:rowOff>
    </xdr:to>
    <xdr:pic>
      <xdr:nvPicPr>
        <xdr:cNvPr id="39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866775" y="6524625"/>
          <a:ext cx="161925" cy="190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3</xdr:col>
      <xdr:colOff>257175</xdr:colOff>
      <xdr:row>11</xdr:row>
      <xdr:rowOff>0</xdr:rowOff>
    </xdr:from>
    <xdr:to>
      <xdr:col>3</xdr:col>
      <xdr:colOff>428625</xdr:colOff>
      <xdr:row>11</xdr:row>
      <xdr:rowOff>190500</xdr:rowOff>
    </xdr:to>
    <xdr:pic>
      <xdr:nvPicPr>
        <xdr:cNvPr id="40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866775" y="6724650"/>
          <a:ext cx="171450" cy="190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8</xdr:col>
      <xdr:colOff>323850</xdr:colOff>
      <xdr:row>6</xdr:row>
      <xdr:rowOff>19050</xdr:rowOff>
    </xdr:from>
    <xdr:to>
      <xdr:col>8</xdr:col>
      <xdr:colOff>647700</xdr:colOff>
      <xdr:row>7</xdr:row>
      <xdr:rowOff>0</xdr:rowOff>
    </xdr:to>
    <xdr:pic>
      <xdr:nvPicPr>
        <xdr:cNvPr id="41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124575" y="5743575"/>
          <a:ext cx="285750" cy="1809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10</xdr:col>
      <xdr:colOff>323850</xdr:colOff>
      <xdr:row>6</xdr:row>
      <xdr:rowOff>19050</xdr:rowOff>
    </xdr:from>
    <xdr:to>
      <xdr:col>10</xdr:col>
      <xdr:colOff>647700</xdr:colOff>
      <xdr:row>7</xdr:row>
      <xdr:rowOff>0</xdr:rowOff>
    </xdr:to>
    <xdr:pic>
      <xdr:nvPicPr>
        <xdr:cNvPr id="42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343775" y="5743575"/>
          <a:ext cx="285750" cy="1809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4</xdr:col>
      <xdr:colOff>371475</xdr:colOff>
      <xdr:row>12</xdr:row>
      <xdr:rowOff>0</xdr:rowOff>
    </xdr:from>
    <xdr:to>
      <xdr:col>4</xdr:col>
      <xdr:colOff>485775</xdr:colOff>
      <xdr:row>12</xdr:row>
      <xdr:rowOff>190500</xdr:rowOff>
    </xdr:to>
    <xdr:pic>
      <xdr:nvPicPr>
        <xdr:cNvPr id="43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1590675" y="6924675"/>
          <a:ext cx="114300" cy="190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4</xdr:col>
      <xdr:colOff>361950</xdr:colOff>
      <xdr:row>5</xdr:row>
      <xdr:rowOff>0</xdr:rowOff>
    </xdr:from>
    <xdr:to>
      <xdr:col>4</xdr:col>
      <xdr:colOff>533400</xdr:colOff>
      <xdr:row>5</xdr:row>
      <xdr:rowOff>190500</xdr:rowOff>
    </xdr:to>
    <xdr:pic>
      <xdr:nvPicPr>
        <xdr:cNvPr id="44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581150" y="5372100"/>
          <a:ext cx="171450" cy="190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5</xdr:col>
      <xdr:colOff>1581150</xdr:colOff>
      <xdr:row>13</xdr:row>
      <xdr:rowOff>0</xdr:rowOff>
    </xdr:from>
    <xdr:to>
      <xdr:col>5</xdr:col>
      <xdr:colOff>2095500</xdr:colOff>
      <xdr:row>13</xdr:row>
      <xdr:rowOff>180975</xdr:rowOff>
    </xdr:to>
    <xdr:pic>
      <xdr:nvPicPr>
        <xdr:cNvPr id="46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3409950" y="7124700"/>
          <a:ext cx="514350" cy="1809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5</xdr:col>
      <xdr:colOff>428625</xdr:colOff>
      <xdr:row>13</xdr:row>
      <xdr:rowOff>19050</xdr:rowOff>
    </xdr:from>
    <xdr:to>
      <xdr:col>5</xdr:col>
      <xdr:colOff>942975</xdr:colOff>
      <xdr:row>14</xdr:row>
      <xdr:rowOff>9525</xdr:rowOff>
    </xdr:to>
    <xdr:pic>
      <xdr:nvPicPr>
        <xdr:cNvPr id="47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4343400" y="2571750"/>
          <a:ext cx="514350" cy="18097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4</xdr:row>
      <xdr:rowOff>0</xdr:rowOff>
    </xdr:from>
    <xdr:to>
      <xdr:col>8</xdr:col>
      <xdr:colOff>409575</xdr:colOff>
      <xdr:row>4</xdr:row>
      <xdr:rowOff>180975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648700" y="828675"/>
          <a:ext cx="85725" cy="1809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11</xdr:col>
      <xdr:colOff>323850</xdr:colOff>
      <xdr:row>4</xdr:row>
      <xdr:rowOff>0</xdr:rowOff>
    </xdr:from>
    <xdr:to>
      <xdr:col>11</xdr:col>
      <xdr:colOff>447675</xdr:colOff>
      <xdr:row>4</xdr:row>
      <xdr:rowOff>180975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477500" y="828675"/>
          <a:ext cx="123825" cy="1809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14</xdr:col>
      <xdr:colOff>323850</xdr:colOff>
      <xdr:row>4</xdr:row>
      <xdr:rowOff>0</xdr:rowOff>
    </xdr:from>
    <xdr:to>
      <xdr:col>14</xdr:col>
      <xdr:colOff>409575</xdr:colOff>
      <xdr:row>4</xdr:row>
      <xdr:rowOff>180975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306300" y="828675"/>
          <a:ext cx="85725" cy="18097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180975</xdr:colOff>
      <xdr:row>9</xdr:row>
      <xdr:rowOff>180975</xdr:rowOff>
    </xdr:from>
    <xdr:to>
      <xdr:col>10</xdr:col>
      <xdr:colOff>304800</xdr:colOff>
      <xdr:row>10</xdr:row>
      <xdr:rowOff>180975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96225" y="1752600"/>
          <a:ext cx="123825" cy="2095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13</xdr:col>
      <xdr:colOff>0</xdr:colOff>
      <xdr:row>4</xdr:row>
      <xdr:rowOff>0</xdr:rowOff>
    </xdr:from>
    <xdr:to>
      <xdr:col>15</xdr:col>
      <xdr:colOff>28575</xdr:colOff>
      <xdr:row>5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48800" y="390525"/>
          <a:ext cx="1857375" cy="2000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18</xdr:col>
      <xdr:colOff>0</xdr:colOff>
      <xdr:row>2</xdr:row>
      <xdr:rowOff>66675</xdr:rowOff>
    </xdr:from>
    <xdr:to>
      <xdr:col>22</xdr:col>
      <xdr:colOff>114300</xdr:colOff>
      <xdr:row>4</xdr:row>
      <xdr:rowOff>9525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5478125" y="66675"/>
          <a:ext cx="3971925" cy="33337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J15"/>
  <sheetViews>
    <sheetView workbookViewId="0">
      <selection activeCell="J12" sqref="J12"/>
    </sheetView>
  </sheetViews>
  <sheetFormatPr defaultRowHeight="15" x14ac:dyDescent="0.25"/>
  <cols>
    <col min="3" max="3" width="17.85546875" style="1" bestFit="1" customWidth="1"/>
    <col min="4" max="4" width="6.5703125" style="1" bestFit="1" customWidth="1"/>
    <col min="5" max="5" width="16.28515625" style="1" bestFit="1" customWidth="1"/>
    <col min="6" max="6" width="6.5703125" style="1" bestFit="1" customWidth="1"/>
    <col min="7" max="7" width="9.7109375" style="1" customWidth="1"/>
    <col min="8" max="8" width="11" style="1" bestFit="1" customWidth="1"/>
    <col min="9" max="9" width="17.7109375" style="1" bestFit="1" customWidth="1"/>
    <col min="10" max="10" width="14" style="1" bestFit="1" customWidth="1"/>
  </cols>
  <sheetData>
    <row r="6" spans="3:10" x14ac:dyDescent="0.25">
      <c r="C6" s="33" t="s">
        <v>0</v>
      </c>
    </row>
    <row r="7" spans="3:10" ht="20.100000000000001" customHeight="1" x14ac:dyDescent="0.25">
      <c r="C7" s="99" t="s">
        <v>1</v>
      </c>
      <c r="D7" s="100"/>
      <c r="E7" s="99" t="s">
        <v>2</v>
      </c>
      <c r="F7" s="100"/>
      <c r="G7" s="101" t="s">
        <v>3</v>
      </c>
      <c r="H7" s="22" t="s">
        <v>4</v>
      </c>
      <c r="I7" s="22" t="s">
        <v>5</v>
      </c>
      <c r="J7" s="22" t="s">
        <v>6</v>
      </c>
    </row>
    <row r="8" spans="3:10" ht="20.100000000000001" customHeight="1" x14ac:dyDescent="0.25">
      <c r="C8" s="22" t="s">
        <v>7</v>
      </c>
      <c r="D8" s="22" t="s">
        <v>8</v>
      </c>
      <c r="E8" s="22" t="s">
        <v>9</v>
      </c>
      <c r="F8" s="22" t="s">
        <v>8</v>
      </c>
      <c r="G8" s="102"/>
      <c r="I8" t="s">
        <v>10</v>
      </c>
    </row>
    <row r="9" spans="3:10" ht="20.100000000000001" customHeight="1" x14ac:dyDescent="0.25">
      <c r="C9" s="24"/>
      <c r="D9" s="24" t="s">
        <v>11</v>
      </c>
      <c r="E9" s="24"/>
      <c r="F9" s="24" t="s">
        <v>11</v>
      </c>
      <c r="G9" s="23"/>
      <c r="H9" s="23"/>
      <c r="I9" s="23"/>
      <c r="J9" s="24"/>
    </row>
    <row r="10" spans="3:10" x14ac:dyDescent="0.25">
      <c r="C10" t="s">
        <v>12</v>
      </c>
      <c r="D10" s="85">
        <v>3</v>
      </c>
      <c r="E10" t="s">
        <v>13</v>
      </c>
      <c r="F10" s="85">
        <v>70</v>
      </c>
      <c r="G10" s="86">
        <v>0.7</v>
      </c>
      <c r="H10" s="11">
        <v>12</v>
      </c>
      <c r="I10" s="11">
        <v>5.74</v>
      </c>
      <c r="J10" s="87">
        <f>G10*12/(0.7*H10)</f>
        <v>1</v>
      </c>
    </row>
    <row r="11" spans="3:10" x14ac:dyDescent="0.25">
      <c r="C11" t="s">
        <v>14</v>
      </c>
      <c r="D11" s="85">
        <v>28</v>
      </c>
      <c r="E11" t="s">
        <v>15</v>
      </c>
      <c r="F11" s="85">
        <v>4.5</v>
      </c>
      <c r="G11" s="86">
        <v>4.4999999999999998E-2</v>
      </c>
      <c r="H11" s="11">
        <v>1</v>
      </c>
      <c r="I11" s="11">
        <v>130.68</v>
      </c>
      <c r="J11" s="87">
        <f>G11*12/(0.7*H11)</f>
        <v>0.77142857142857157</v>
      </c>
    </row>
    <row r="12" spans="3:10" x14ac:dyDescent="0.25">
      <c r="C12" t="s">
        <v>16</v>
      </c>
      <c r="D12" s="85">
        <v>54</v>
      </c>
      <c r="E12" t="s">
        <v>17</v>
      </c>
      <c r="F12" s="85">
        <v>7.9</v>
      </c>
      <c r="G12" s="86">
        <v>7.8E-2</v>
      </c>
      <c r="H12" s="11">
        <v>16</v>
      </c>
      <c r="I12" s="11">
        <v>205.15</v>
      </c>
      <c r="J12" s="87">
        <f>G12*12/(0.7*H12)</f>
        <v>8.3571428571428574E-2</v>
      </c>
    </row>
    <row r="13" spans="3:10" x14ac:dyDescent="0.25">
      <c r="C13" t="s">
        <v>18</v>
      </c>
      <c r="D13" s="85">
        <v>15</v>
      </c>
      <c r="E13" t="s">
        <v>19</v>
      </c>
      <c r="F13" s="85">
        <v>1</v>
      </c>
      <c r="G13" s="86">
        <v>0.01</v>
      </c>
      <c r="H13" s="11">
        <v>32</v>
      </c>
      <c r="I13" s="11">
        <v>248.21</v>
      </c>
      <c r="J13" s="87">
        <f>G13*12/(0.7*H13)</f>
        <v>5.3571428571428572E-3</v>
      </c>
    </row>
    <row r="14" spans="3:10" x14ac:dyDescent="0.25">
      <c r="E14" t="s">
        <v>20</v>
      </c>
      <c r="F14" s="85">
        <v>1.6</v>
      </c>
      <c r="G14" s="86">
        <v>1.6E-2</v>
      </c>
      <c r="H14" s="11">
        <v>14</v>
      </c>
      <c r="I14" s="11">
        <v>31.8</v>
      </c>
      <c r="J14" s="87">
        <f>G14*12/(0.7*H14)</f>
        <v>1.959183673469388E-2</v>
      </c>
    </row>
    <row r="15" spans="3:10" x14ac:dyDescent="0.25">
      <c r="C15" s="23"/>
      <c r="D15" s="23"/>
      <c r="E15" s="23" t="s">
        <v>21</v>
      </c>
      <c r="F15" s="88">
        <v>15</v>
      </c>
      <c r="G15" s="89">
        <v>0.15</v>
      </c>
      <c r="H15" s="24" t="s">
        <v>22</v>
      </c>
      <c r="I15" s="24" t="s">
        <v>22</v>
      </c>
      <c r="J15" s="24" t="s">
        <v>22</v>
      </c>
    </row>
  </sheetData>
  <mergeCells count="3">
    <mergeCell ref="E7:F7"/>
    <mergeCell ref="G7:G8"/>
    <mergeCell ref="C7:D7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L27"/>
  <sheetViews>
    <sheetView zoomScaleNormal="100" workbookViewId="0">
      <selection activeCell="M12" sqref="M12"/>
    </sheetView>
  </sheetViews>
  <sheetFormatPr defaultRowHeight="15" x14ac:dyDescent="0.25"/>
  <cols>
    <col min="2" max="2" width="12.42578125" style="1" customWidth="1"/>
    <col min="4" max="5" width="14" style="1" bestFit="1" customWidth="1"/>
    <col min="6" max="6" width="15.5703125" style="1" customWidth="1"/>
    <col min="7" max="8" width="13.85546875" style="1" bestFit="1" customWidth="1"/>
    <col min="9" max="9" width="12.7109375" style="1" bestFit="1" customWidth="1"/>
    <col min="10" max="11" width="13.85546875" style="1" bestFit="1" customWidth="1"/>
    <col min="12" max="12" width="12.7109375" style="1" bestFit="1" customWidth="1"/>
  </cols>
  <sheetData>
    <row r="6" spans="3:11" ht="15.75" customHeight="1" x14ac:dyDescent="0.25">
      <c r="D6" s="13" t="s">
        <v>7</v>
      </c>
      <c r="F6" s="103" t="s">
        <v>23</v>
      </c>
      <c r="G6" s="102"/>
      <c r="H6" s="103" t="s">
        <v>24</v>
      </c>
      <c r="I6" s="102"/>
      <c r="J6" s="103" t="s">
        <v>25</v>
      </c>
      <c r="K6" s="102"/>
    </row>
    <row r="7" spans="3:11" ht="15.75" customHeight="1" x14ac:dyDescent="0.25">
      <c r="D7" s="13"/>
      <c r="F7" s="13" t="s">
        <v>26</v>
      </c>
      <c r="G7" s="13"/>
      <c r="H7" s="13" t="s">
        <v>26</v>
      </c>
      <c r="I7" s="13"/>
      <c r="J7" s="13" t="s">
        <v>26</v>
      </c>
      <c r="K7" s="13"/>
    </row>
    <row r="8" spans="3:11" ht="15.75" customHeight="1" x14ac:dyDescent="0.25">
      <c r="D8" s="13"/>
      <c r="F8" s="13"/>
      <c r="G8" s="13"/>
      <c r="H8" s="13"/>
      <c r="I8" s="13"/>
      <c r="J8" s="13"/>
      <c r="K8" s="13"/>
    </row>
    <row r="9" spans="3:11" ht="15.75" customHeight="1" x14ac:dyDescent="0.25">
      <c r="D9" s="3"/>
      <c r="E9" s="13">
        <v>44</v>
      </c>
      <c r="F9" s="13">
        <v>1</v>
      </c>
      <c r="G9" s="13">
        <v>17.399999999999999</v>
      </c>
      <c r="H9" s="13">
        <v>1</v>
      </c>
      <c r="I9" s="13">
        <v>12.33</v>
      </c>
      <c r="J9" s="13">
        <v>1</v>
      </c>
      <c r="K9" s="13">
        <v>11.93</v>
      </c>
    </row>
    <row r="10" spans="3:11" ht="15.75" customHeight="1" x14ac:dyDescent="0.25">
      <c r="D10" s="3"/>
      <c r="E10" s="13">
        <v>18</v>
      </c>
      <c r="F10" s="13">
        <v>0.38500000000000001</v>
      </c>
      <c r="G10" s="13">
        <v>6.7</v>
      </c>
      <c r="H10" s="13">
        <v>0.38500000000000001</v>
      </c>
      <c r="I10" s="13">
        <v>4.75</v>
      </c>
      <c r="J10" s="13">
        <v>0.38500000000000001</v>
      </c>
      <c r="K10" s="13">
        <v>4.59</v>
      </c>
    </row>
    <row r="11" spans="3:11" ht="15.75" customHeight="1" x14ac:dyDescent="0.25">
      <c r="D11" s="3"/>
      <c r="E11" s="13">
        <v>32</v>
      </c>
      <c r="F11" s="13">
        <v>0</v>
      </c>
      <c r="G11" s="13">
        <v>0</v>
      </c>
      <c r="H11" s="13">
        <v>0.49709999999999999</v>
      </c>
      <c r="I11" s="13">
        <v>6.13</v>
      </c>
      <c r="J11" s="13">
        <v>0.55500000000000005</v>
      </c>
      <c r="K11" s="13">
        <v>6.62</v>
      </c>
    </row>
    <row r="12" spans="3:11" ht="15.75" customHeight="1" x14ac:dyDescent="0.25">
      <c r="D12" s="3"/>
      <c r="E12" s="13">
        <v>28</v>
      </c>
      <c r="F12" s="13">
        <v>4.3570000000000002</v>
      </c>
      <c r="G12" s="13">
        <v>75.81</v>
      </c>
      <c r="H12" s="13">
        <v>6.2249999999999996</v>
      </c>
      <c r="I12" s="13">
        <v>76.73</v>
      </c>
      <c r="J12" s="13">
        <v>6.4429999999999996</v>
      </c>
      <c r="K12" s="13">
        <v>76.849999999999994</v>
      </c>
    </row>
    <row r="13" spans="3:11" ht="15.75" customHeight="1" x14ac:dyDescent="0.25">
      <c r="D13" s="4" t="s">
        <v>27</v>
      </c>
      <c r="E13" s="10"/>
      <c r="F13" s="5">
        <v>5.7473999999999998</v>
      </c>
      <c r="G13" s="5">
        <v>100</v>
      </c>
      <c r="H13" s="5">
        <v>8.1125000000000007</v>
      </c>
      <c r="I13" s="5">
        <v>100</v>
      </c>
      <c r="J13" s="5">
        <v>8.3884000000000007</v>
      </c>
      <c r="K13" s="5">
        <v>100</v>
      </c>
    </row>
    <row r="14" spans="3:11" x14ac:dyDescent="0.25">
      <c r="F14" t="s">
        <v>28</v>
      </c>
      <c r="G14" s="11">
        <f>(G9*E9+G10*E10+G11*E11+G12*E12)/100</f>
        <v>30.088800000000003</v>
      </c>
      <c r="I14" s="11">
        <f>(I9*E9+I10*E10+I11*E11+I12*E12)/100</f>
        <v>29.726199999999999</v>
      </c>
      <c r="K14" s="11">
        <f>(K9*E9+K10*E10+K11*E11+K12*E12)/100</f>
        <v>29.711799999999997</v>
      </c>
    </row>
    <row r="16" spans="3:11" x14ac:dyDescent="0.25">
      <c r="C16" s="33" t="s">
        <v>29</v>
      </c>
    </row>
    <row r="17" spans="2:12" ht="15" customHeight="1" x14ac:dyDescent="0.25">
      <c r="B17" s="32" t="s">
        <v>4</v>
      </c>
      <c r="C17" s="45"/>
    </row>
    <row r="18" spans="2:12" ht="15" customHeight="1" x14ac:dyDescent="0.25">
      <c r="B18" s="32"/>
      <c r="C18" s="45" t="s">
        <v>30</v>
      </c>
      <c r="D18" t="s">
        <v>23</v>
      </c>
      <c r="E18" t="s">
        <v>23</v>
      </c>
      <c r="F18" t="s">
        <v>3</v>
      </c>
      <c r="G18" t="s">
        <v>24</v>
      </c>
      <c r="H18" t="s">
        <v>24</v>
      </c>
      <c r="I18" t="s">
        <v>3</v>
      </c>
      <c r="J18" t="s">
        <v>25</v>
      </c>
      <c r="K18" t="s">
        <v>25</v>
      </c>
      <c r="L18" t="s">
        <v>3</v>
      </c>
    </row>
    <row r="19" spans="2:12" ht="15" customHeight="1" thickBot="1" x14ac:dyDescent="0.3">
      <c r="C19" s="45"/>
      <c r="D19" t="s">
        <v>26</v>
      </c>
      <c r="E19" t="s">
        <v>31</v>
      </c>
      <c r="G19" t="s">
        <v>26</v>
      </c>
      <c r="H19" t="s">
        <v>31</v>
      </c>
      <c r="J19" t="s">
        <v>26</v>
      </c>
      <c r="K19" t="s">
        <v>31</v>
      </c>
    </row>
    <row r="20" spans="2:12" ht="15.75" customHeight="1" x14ac:dyDescent="0.25">
      <c r="B20" s="29">
        <v>44</v>
      </c>
      <c r="C20" s="45"/>
      <c r="D20" s="22">
        <v>1</v>
      </c>
      <c r="E20" s="11">
        <f>100*D20/5.7474</f>
        <v>17.399171799422348</v>
      </c>
      <c r="F20" s="87">
        <f>E20*B20/(30.09*100)</f>
        <v>0.25442457932023377</v>
      </c>
      <c r="G20" s="22">
        <v>1</v>
      </c>
      <c r="H20" s="11">
        <f>100*G20/8.1125</f>
        <v>12.326656394453003</v>
      </c>
      <c r="I20" s="87">
        <f>H20*B20/(29.73*100)</f>
        <v>0.18243285615739391</v>
      </c>
      <c r="J20" s="22">
        <v>1</v>
      </c>
      <c r="K20" s="11">
        <f>100*J20/8.384</f>
        <v>11.927480916030534</v>
      </c>
      <c r="L20" s="87">
        <f>K20*B20/(29.71*100)</f>
        <v>0.1766439449025054</v>
      </c>
    </row>
    <row r="21" spans="2:12" x14ac:dyDescent="0.25">
      <c r="B21" s="30">
        <v>18</v>
      </c>
      <c r="C21" s="45"/>
      <c r="D21" s="22">
        <v>0.38500000000000001</v>
      </c>
      <c r="E21" s="11">
        <f>100*D21/5.7474</f>
        <v>6.6986811427776036</v>
      </c>
      <c r="F21" s="87">
        <f>E21*B21/(30.09*100)</f>
        <v>4.0071871242936812E-2</v>
      </c>
      <c r="G21" s="22">
        <v>0.38500000000000001</v>
      </c>
      <c r="H21" s="11">
        <f>100*G21/8.1125</f>
        <v>4.7457627118644066</v>
      </c>
      <c r="I21" s="87">
        <f>H21*B21/(29.73*100)</f>
        <v>2.8733174844789548E-2</v>
      </c>
      <c r="J21" s="22">
        <v>0.38500000000000001</v>
      </c>
      <c r="K21" s="11">
        <f>100*J21/8.384</f>
        <v>4.5920801526717554</v>
      </c>
      <c r="L21" s="87">
        <f>K21*B21/(29.71*100)</f>
        <v>2.7821421322144598E-2</v>
      </c>
    </row>
    <row r="22" spans="2:12" x14ac:dyDescent="0.25">
      <c r="B22" s="30">
        <v>64</v>
      </c>
      <c r="C22" s="45"/>
      <c r="D22" s="22">
        <v>5.4000000000000003E-3</v>
      </c>
      <c r="E22" s="11">
        <f>100*D22/5.7474</f>
        <v>9.3955527716880691E-2</v>
      </c>
      <c r="F22" s="87">
        <f>E22*B22/(30.09*100)</f>
        <v>1.9983894230243817E-3</v>
      </c>
      <c r="G22" s="22">
        <v>5.4000000000000003E-3</v>
      </c>
      <c r="H22" s="11">
        <f>100*G22/8.1125</f>
        <v>6.6563944530046229E-2</v>
      </c>
      <c r="I22" s="87">
        <f>H22*B22/(29.73*100)</f>
        <v>1.4329271610908035E-3</v>
      </c>
      <c r="J22" s="22">
        <v>5.4000000000000003E-3</v>
      </c>
      <c r="K22" s="11">
        <f>100*J22/8.384</f>
        <v>6.4408396946564889E-2</v>
      </c>
      <c r="L22" s="87">
        <f>K22*B22/(29.71*100)</f>
        <v>1.3874578945069515E-3</v>
      </c>
    </row>
    <row r="23" spans="2:12" x14ac:dyDescent="0.25">
      <c r="B23" s="30">
        <v>32</v>
      </c>
      <c r="C23" s="45"/>
      <c r="D23" s="22">
        <v>0</v>
      </c>
      <c r="E23" s="11">
        <f>100*D23/5.7474</f>
        <v>0</v>
      </c>
      <c r="F23" s="87">
        <f>E23*B23/(30.09*100)</f>
        <v>0</v>
      </c>
      <c r="G23" s="22">
        <v>0.49709999999999999</v>
      </c>
      <c r="H23" s="11">
        <f>100*G23/8.1125</f>
        <v>6.1275808936825884</v>
      </c>
      <c r="I23" s="87">
        <f>H23*B23/(29.73*100)</f>
        <v>6.5954452942429478E-2</v>
      </c>
      <c r="J23" s="22">
        <v>0.55500000000000005</v>
      </c>
      <c r="K23" s="11">
        <f>100*J23/8.384</f>
        <v>6.6197519083969469</v>
      </c>
      <c r="L23" s="87">
        <f>K23*B23/(29.71*100)</f>
        <v>7.1299919578829446E-2</v>
      </c>
    </row>
    <row r="24" spans="2:12" ht="15.75" customHeight="1" thickBot="1" x14ac:dyDescent="0.3">
      <c r="B24" s="31">
        <v>28</v>
      </c>
      <c r="C24" s="45"/>
      <c r="D24" s="22">
        <v>4.3570000000000002</v>
      </c>
      <c r="E24" s="11">
        <f>100*D24/5.7474</f>
        <v>75.808191530083178</v>
      </c>
      <c r="F24" s="87">
        <f>E24*B24/(30.09*100)</f>
        <v>0.70542684042616455</v>
      </c>
      <c r="G24" s="22">
        <v>6.2249999999999996</v>
      </c>
      <c r="H24" s="11">
        <f>100*G24/8.1125</f>
        <v>76.733436055469951</v>
      </c>
      <c r="I24" s="87">
        <f>H24*B24/(29.73*100)</f>
        <v>0.72268288245985823</v>
      </c>
      <c r="J24" s="22">
        <v>6.4429999999999996</v>
      </c>
      <c r="K24" s="11">
        <f>100*J24/8.384</f>
        <v>76.84875954198472</v>
      </c>
      <c r="L24" s="87">
        <f>K24*B24/(29.71*100)</f>
        <v>0.7242562326407177</v>
      </c>
    </row>
    <row r="25" spans="2:12" ht="15.75" customHeight="1" thickBot="1" x14ac:dyDescent="0.3">
      <c r="C25" s="25" t="s">
        <v>27</v>
      </c>
      <c r="D25" s="26">
        <f t="shared" ref="D25:L25" si="0">SUM(D20:D24)</f>
        <v>5.7474000000000007</v>
      </c>
      <c r="E25" s="26">
        <f t="shared" si="0"/>
        <v>100</v>
      </c>
      <c r="F25" s="27">
        <f t="shared" si="0"/>
        <v>1.0019216804123596</v>
      </c>
      <c r="G25" s="26">
        <f t="shared" si="0"/>
        <v>8.1125000000000007</v>
      </c>
      <c r="H25" s="26">
        <f t="shared" si="0"/>
        <v>100</v>
      </c>
      <c r="I25" s="27">
        <f t="shared" si="0"/>
        <v>1.0012362935655621</v>
      </c>
      <c r="J25" s="26">
        <f t="shared" si="0"/>
        <v>8.3884000000000007</v>
      </c>
      <c r="K25" s="28">
        <f t="shared" si="0"/>
        <v>100.05248091603052</v>
      </c>
      <c r="L25" s="27">
        <f t="shared" si="0"/>
        <v>1.0014089763387042</v>
      </c>
    </row>
    <row r="27" spans="2:12" x14ac:dyDescent="0.25">
      <c r="C27" t="s">
        <v>32</v>
      </c>
    </row>
  </sheetData>
  <mergeCells count="3">
    <mergeCell ref="J6:K6"/>
    <mergeCell ref="F6:G6"/>
    <mergeCell ref="H6:I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J16"/>
  <sheetViews>
    <sheetView tabSelected="1" workbookViewId="0">
      <selection activeCell="M9" sqref="M9"/>
    </sheetView>
  </sheetViews>
  <sheetFormatPr defaultRowHeight="15" x14ac:dyDescent="0.25"/>
  <cols>
    <col min="4" max="4" width="41.28515625" style="1" customWidth="1"/>
  </cols>
  <sheetData>
    <row r="1" spans="3:10" ht="18" customHeight="1" x14ac:dyDescent="0.25"/>
    <row r="2" spans="3:10" ht="18" customHeight="1" x14ac:dyDescent="0.25">
      <c r="D2" s="33" t="s">
        <v>33</v>
      </c>
    </row>
    <row r="3" spans="3:10" ht="18" customHeight="1" thickBot="1" x14ac:dyDescent="0.3"/>
    <row r="4" spans="3:10" ht="18" customHeight="1" x14ac:dyDescent="0.25">
      <c r="C4" s="106" t="s">
        <v>34</v>
      </c>
      <c r="D4" s="106" t="s">
        <v>35</v>
      </c>
      <c r="E4" s="107" t="s">
        <v>36</v>
      </c>
      <c r="F4" s="108"/>
      <c r="G4" s="108"/>
      <c r="H4" s="107" t="s">
        <v>37</v>
      </c>
      <c r="I4" s="108"/>
      <c r="J4" s="108"/>
    </row>
    <row r="5" spans="3:10" ht="18" customHeight="1" thickBot="1" x14ac:dyDescent="0.3">
      <c r="C5" s="102"/>
      <c r="D5" s="105"/>
      <c r="E5" s="104" t="s">
        <v>38</v>
      </c>
      <c r="F5" s="105"/>
      <c r="G5" s="105"/>
      <c r="H5" s="104" t="s">
        <v>39</v>
      </c>
      <c r="I5" s="105"/>
      <c r="J5" s="105"/>
    </row>
    <row r="6" spans="3:10" ht="18" customHeight="1" thickBot="1" x14ac:dyDescent="0.3">
      <c r="C6" s="105"/>
      <c r="D6" s="2" t="s">
        <v>40</v>
      </c>
      <c r="E6" s="6">
        <v>0.70730000000000004</v>
      </c>
      <c r="F6" s="6">
        <v>0.92649999999999999</v>
      </c>
      <c r="G6" s="7">
        <v>1</v>
      </c>
      <c r="H6" s="6">
        <v>0.70730000000000004</v>
      </c>
      <c r="I6" s="6">
        <v>0.92649999999999999</v>
      </c>
      <c r="J6" s="7">
        <v>1</v>
      </c>
    </row>
    <row r="7" spans="3:10" ht="30" customHeight="1" x14ac:dyDescent="0.25">
      <c r="C7" s="14">
        <v>1</v>
      </c>
      <c r="D7" s="8" t="s">
        <v>41</v>
      </c>
      <c r="E7" s="17">
        <v>162</v>
      </c>
      <c r="F7" s="17">
        <v>172</v>
      </c>
      <c r="G7" s="17">
        <v>177</v>
      </c>
      <c r="H7" s="14">
        <v>3.3879999999999999</v>
      </c>
      <c r="I7" s="14">
        <v>4.4610000000000003</v>
      </c>
      <c r="J7" s="14">
        <v>4.8380000000000001</v>
      </c>
    </row>
    <row r="8" spans="3:10" ht="18" customHeight="1" x14ac:dyDescent="0.25">
      <c r="C8" s="15">
        <v>2</v>
      </c>
      <c r="D8" s="32" t="s">
        <v>42</v>
      </c>
      <c r="E8" s="2">
        <v>162</v>
      </c>
      <c r="F8" s="2">
        <v>172</v>
      </c>
      <c r="G8" s="2">
        <v>177</v>
      </c>
      <c r="H8" s="2">
        <v>54.878</v>
      </c>
      <c r="I8" s="2">
        <v>69.772000000000006</v>
      </c>
      <c r="J8" s="2">
        <v>75.659000000000006</v>
      </c>
    </row>
    <row r="9" spans="3:10" ht="18" customHeight="1" x14ac:dyDescent="0.25">
      <c r="C9" s="15">
        <v>3</v>
      </c>
      <c r="D9" s="32" t="s">
        <v>43</v>
      </c>
      <c r="E9" s="2">
        <v>952</v>
      </c>
      <c r="F9" s="2">
        <v>1043</v>
      </c>
      <c r="G9" s="2">
        <v>1070</v>
      </c>
      <c r="H9" s="2">
        <v>0.55600000000000005</v>
      </c>
      <c r="I9" s="2">
        <v>0.73199999999999998</v>
      </c>
      <c r="J9" s="2">
        <v>0.79300000000000004</v>
      </c>
    </row>
    <row r="10" spans="3:10" ht="30" customHeight="1" x14ac:dyDescent="0.25">
      <c r="C10" s="15">
        <v>4</v>
      </c>
      <c r="D10" s="32" t="s">
        <v>44</v>
      </c>
      <c r="E10" s="2">
        <v>952</v>
      </c>
      <c r="F10" s="2">
        <v>1043</v>
      </c>
      <c r="G10" s="2">
        <v>1070</v>
      </c>
      <c r="H10" s="15">
        <v>57.709000000000003</v>
      </c>
      <c r="I10" s="15">
        <v>73.501000000000005</v>
      </c>
      <c r="J10" s="15">
        <v>79.703000000000003</v>
      </c>
    </row>
    <row r="11" spans="3:10" ht="18" customHeight="1" x14ac:dyDescent="0.25">
      <c r="C11" s="2">
        <v>5</v>
      </c>
      <c r="D11" s="3" t="s">
        <v>45</v>
      </c>
      <c r="E11" s="2">
        <v>573</v>
      </c>
      <c r="F11" s="2">
        <v>634</v>
      </c>
      <c r="G11" s="2">
        <v>656</v>
      </c>
      <c r="H11" s="15">
        <v>57.709000000000003</v>
      </c>
      <c r="I11" s="15">
        <v>73.501000000000005</v>
      </c>
      <c r="J11" s="15">
        <v>79.703000000000003</v>
      </c>
    </row>
    <row r="12" spans="3:10" ht="18" customHeight="1" x14ac:dyDescent="0.25">
      <c r="C12" s="2">
        <v>6</v>
      </c>
      <c r="D12" s="3" t="s">
        <v>46</v>
      </c>
      <c r="E12" s="2">
        <v>564</v>
      </c>
      <c r="F12" s="2">
        <v>625</v>
      </c>
      <c r="G12" s="2">
        <v>646</v>
      </c>
      <c r="H12" s="15">
        <v>57.709000000000003</v>
      </c>
      <c r="I12" s="15">
        <v>73.501000000000005</v>
      </c>
      <c r="J12" s="15">
        <v>79.703000000000003</v>
      </c>
    </row>
    <row r="13" spans="3:10" ht="18" customHeight="1" x14ac:dyDescent="0.25">
      <c r="C13" s="2">
        <v>7</v>
      </c>
      <c r="D13" s="3" t="s">
        <v>47</v>
      </c>
      <c r="E13" s="2">
        <v>225</v>
      </c>
      <c r="F13" s="2">
        <v>235</v>
      </c>
      <c r="G13" s="2">
        <v>244</v>
      </c>
      <c r="H13" s="15">
        <v>57.709000000000003</v>
      </c>
      <c r="I13" s="15">
        <v>73.501000000000005</v>
      </c>
      <c r="J13" s="15">
        <v>79.703000000000003</v>
      </c>
    </row>
    <row r="14" spans="3:10" ht="18" customHeight="1" thickBot="1" x14ac:dyDescent="0.3">
      <c r="C14" s="18">
        <v>8</v>
      </c>
      <c r="D14" s="9" t="s">
        <v>48</v>
      </c>
      <c r="E14" s="18">
        <v>117</v>
      </c>
      <c r="F14" s="18">
        <v>131</v>
      </c>
      <c r="G14" s="18">
        <v>138</v>
      </c>
      <c r="H14" s="16">
        <v>57.709000000000003</v>
      </c>
      <c r="I14" s="16">
        <v>73.501000000000005</v>
      </c>
      <c r="J14" s="16">
        <v>79.703000000000003</v>
      </c>
    </row>
    <row r="15" spans="3:10" ht="18" customHeight="1" x14ac:dyDescent="0.25"/>
    <row r="16" spans="3:10" ht="18" customHeight="1" x14ac:dyDescent="0.25">
      <c r="D16" t="s">
        <v>49</v>
      </c>
    </row>
  </sheetData>
  <mergeCells count="6">
    <mergeCell ref="C4:C6"/>
    <mergeCell ref="E5:G5"/>
    <mergeCell ref="D4:D5"/>
    <mergeCell ref="H5:J5"/>
    <mergeCell ref="H4:J4"/>
    <mergeCell ref="E4:G4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P12"/>
  <sheetViews>
    <sheetView topLeftCell="D1" workbookViewId="0">
      <selection activeCell="J17" sqref="J17"/>
    </sheetView>
  </sheetViews>
  <sheetFormatPr defaultRowHeight="15" x14ac:dyDescent="0.25"/>
  <cols>
    <col min="7" max="7" width="60.85546875" style="1" bestFit="1" customWidth="1"/>
  </cols>
  <sheetData>
    <row r="2" spans="6:16" x14ac:dyDescent="0.25">
      <c r="G2" s="33" t="s">
        <v>50</v>
      </c>
    </row>
    <row r="3" spans="6:16" ht="15.75" customHeight="1" thickBot="1" x14ac:dyDescent="0.3"/>
    <row r="4" spans="6:16" ht="15" customHeight="1" x14ac:dyDescent="0.25">
      <c r="F4" s="109" t="s">
        <v>51</v>
      </c>
      <c r="G4" s="109" t="s">
        <v>35</v>
      </c>
      <c r="H4" s="112" t="s">
        <v>36</v>
      </c>
      <c r="I4" s="108"/>
      <c r="J4" s="108"/>
      <c r="K4" s="112" t="s">
        <v>37</v>
      </c>
      <c r="L4" s="108"/>
      <c r="M4" s="108"/>
      <c r="N4" s="112" t="s">
        <v>52</v>
      </c>
      <c r="O4" s="108"/>
      <c r="P4" s="108"/>
    </row>
    <row r="5" spans="6:16" ht="15" customHeight="1" x14ac:dyDescent="0.25">
      <c r="F5" s="102"/>
      <c r="G5" s="102"/>
      <c r="H5" s="111"/>
      <c r="I5" s="102"/>
      <c r="J5" s="102"/>
      <c r="K5" s="111"/>
      <c r="L5" s="102"/>
      <c r="M5" s="102"/>
      <c r="N5" s="111"/>
      <c r="O5" s="102"/>
      <c r="P5" s="102"/>
    </row>
    <row r="6" spans="6:16" ht="15" customHeight="1" thickBot="1" x14ac:dyDescent="0.3">
      <c r="F6" s="102"/>
      <c r="G6" s="105"/>
      <c r="H6" s="110" t="s">
        <v>38</v>
      </c>
      <c r="I6" s="105"/>
      <c r="J6" s="105"/>
      <c r="K6" s="110" t="s">
        <v>39</v>
      </c>
      <c r="L6" s="105"/>
      <c r="M6" s="105"/>
      <c r="N6" s="110" t="s">
        <v>53</v>
      </c>
      <c r="O6" s="105"/>
      <c r="P6" s="105"/>
    </row>
    <row r="7" spans="6:16" ht="20.100000000000001" customHeight="1" thickBot="1" x14ac:dyDescent="0.3">
      <c r="F7" s="105"/>
      <c r="G7" s="37" t="s">
        <v>54</v>
      </c>
      <c r="H7" s="37">
        <v>70.73</v>
      </c>
      <c r="I7" s="37">
        <v>92.65</v>
      </c>
      <c r="J7" s="37">
        <v>100</v>
      </c>
      <c r="K7" s="37">
        <v>70.73</v>
      </c>
      <c r="L7" s="37">
        <v>92.65</v>
      </c>
      <c r="M7" s="37">
        <v>100</v>
      </c>
      <c r="N7" s="37">
        <v>70.73</v>
      </c>
      <c r="O7" s="37">
        <v>92.65</v>
      </c>
      <c r="P7" s="37">
        <v>100</v>
      </c>
    </row>
    <row r="8" spans="6:16" ht="20.100000000000001" customHeight="1" x14ac:dyDescent="0.25">
      <c r="F8" s="36">
        <v>1</v>
      </c>
      <c r="G8" s="34" t="s">
        <v>55</v>
      </c>
      <c r="H8" s="38">
        <v>170</v>
      </c>
      <c r="I8" s="38">
        <v>187</v>
      </c>
      <c r="J8" s="38">
        <v>188</v>
      </c>
      <c r="K8" s="19">
        <v>26.731000000000002</v>
      </c>
      <c r="L8" s="19">
        <v>34.973999999999997</v>
      </c>
      <c r="M8" s="19">
        <v>37.784999999999997</v>
      </c>
      <c r="N8" s="90">
        <v>6.7169999999999996</v>
      </c>
      <c r="O8" s="90">
        <v>6.7389999999999999</v>
      </c>
      <c r="P8" s="90">
        <v>6.75</v>
      </c>
    </row>
    <row r="9" spans="6:16" ht="20.100000000000001" customHeight="1" x14ac:dyDescent="0.25">
      <c r="F9" s="36">
        <v>2</v>
      </c>
      <c r="G9" s="34" t="s">
        <v>56</v>
      </c>
      <c r="H9" s="38">
        <v>258</v>
      </c>
      <c r="I9" s="38">
        <v>266</v>
      </c>
      <c r="J9" s="38">
        <v>271</v>
      </c>
      <c r="K9" s="19">
        <v>26.731000000000002</v>
      </c>
      <c r="L9" s="19">
        <v>34.973999999999997</v>
      </c>
      <c r="M9" s="19">
        <v>37.784999999999997</v>
      </c>
      <c r="N9" s="90">
        <v>6.915</v>
      </c>
      <c r="O9" s="90">
        <v>7.125</v>
      </c>
      <c r="P9" s="90">
        <v>7.2309999999999999</v>
      </c>
    </row>
    <row r="10" spans="6:16" ht="20.100000000000001" customHeight="1" x14ac:dyDescent="0.25">
      <c r="F10" s="36">
        <v>3</v>
      </c>
      <c r="G10" s="34" t="s">
        <v>57</v>
      </c>
      <c r="H10" s="38">
        <v>284.14</v>
      </c>
      <c r="I10" s="38">
        <v>286.38</v>
      </c>
      <c r="J10" s="38">
        <v>286.47000000000003</v>
      </c>
      <c r="K10" s="19">
        <v>26.731000000000002</v>
      </c>
      <c r="L10" s="19">
        <v>34.973999999999997</v>
      </c>
      <c r="M10" s="19">
        <v>37.784999999999997</v>
      </c>
      <c r="N10" s="90">
        <v>6.83</v>
      </c>
      <c r="O10" s="90">
        <v>7.06</v>
      </c>
      <c r="P10" s="90">
        <v>7.07</v>
      </c>
    </row>
    <row r="11" spans="6:16" ht="20.100000000000001" customHeight="1" x14ac:dyDescent="0.25">
      <c r="F11" s="36">
        <v>4</v>
      </c>
      <c r="G11" s="34" t="s">
        <v>58</v>
      </c>
      <c r="H11" s="38">
        <v>282.26</v>
      </c>
      <c r="I11" s="38">
        <v>282.45</v>
      </c>
      <c r="J11" s="38">
        <v>282.55</v>
      </c>
      <c r="K11" s="19">
        <v>26.731000000000002</v>
      </c>
      <c r="L11" s="19">
        <v>34.973999999999997</v>
      </c>
      <c r="M11" s="19">
        <v>37.784999999999997</v>
      </c>
      <c r="N11" s="90">
        <v>6.64</v>
      </c>
      <c r="O11" s="90">
        <v>6.66</v>
      </c>
      <c r="P11" s="90">
        <v>6.67</v>
      </c>
    </row>
    <row r="12" spans="6:16" ht="20.100000000000001" customHeight="1" thickBot="1" x14ac:dyDescent="0.3">
      <c r="F12" s="37">
        <v>5</v>
      </c>
      <c r="G12" s="35" t="s">
        <v>59</v>
      </c>
      <c r="H12" s="39">
        <v>490</v>
      </c>
      <c r="I12" s="39">
        <v>490</v>
      </c>
      <c r="J12" s="39">
        <v>490</v>
      </c>
      <c r="K12" s="21">
        <v>26.731000000000002</v>
      </c>
      <c r="L12" s="21">
        <v>34.973999999999997</v>
      </c>
      <c r="M12" s="21">
        <v>37.784999999999997</v>
      </c>
      <c r="N12" s="91">
        <v>6.6</v>
      </c>
      <c r="O12" s="91">
        <v>6.6</v>
      </c>
      <c r="P12" s="91">
        <v>6.6</v>
      </c>
    </row>
  </sheetData>
  <mergeCells count="11">
    <mergeCell ref="N5:P5"/>
    <mergeCell ref="N4:P4"/>
    <mergeCell ref="N6:P6"/>
    <mergeCell ref="H6:J6"/>
    <mergeCell ref="F4:F7"/>
    <mergeCell ref="K6:M6"/>
    <mergeCell ref="K5:M5"/>
    <mergeCell ref="K4:M4"/>
    <mergeCell ref="H5:J5"/>
    <mergeCell ref="H4:J4"/>
    <mergeCell ref="G4:G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26"/>
  <sheetViews>
    <sheetView topLeftCell="I7" workbookViewId="0">
      <selection activeCell="AB13" sqref="AB13"/>
    </sheetView>
  </sheetViews>
  <sheetFormatPr defaultRowHeight="15" x14ac:dyDescent="0.25"/>
  <cols>
    <col min="2" max="2" width="10.28515625" style="1" bestFit="1" customWidth="1"/>
    <col min="3" max="3" width="14" style="1" bestFit="1" customWidth="1"/>
    <col min="19" max="19" width="10.140625" style="1" bestFit="1" customWidth="1"/>
    <col min="21" max="21" width="10.140625" style="1" bestFit="1" customWidth="1"/>
    <col min="23" max="23" width="10.140625" style="1" bestFit="1" customWidth="1"/>
    <col min="25" max="27" width="10.140625" style="1" bestFit="1" customWidth="1"/>
  </cols>
  <sheetData>
    <row r="3" spans="4:27" x14ac:dyDescent="0.25">
      <c r="L3" t="s">
        <v>10</v>
      </c>
    </row>
    <row r="4" spans="4:27" ht="15.75" customHeight="1" x14ac:dyDescent="0.25">
      <c r="N4" s="40" t="s">
        <v>60</v>
      </c>
      <c r="X4" t="s">
        <v>61</v>
      </c>
      <c r="Z4" t="s">
        <v>62</v>
      </c>
    </row>
    <row r="7" spans="4:27" x14ac:dyDescent="0.25">
      <c r="M7" s="33" t="s">
        <v>63</v>
      </c>
    </row>
    <row r="8" spans="4:27" ht="15.75" customHeight="1" thickBot="1" x14ac:dyDescent="0.3"/>
    <row r="9" spans="4:27" ht="16.5" customHeight="1" thickBot="1" x14ac:dyDescent="0.3">
      <c r="D9" s="129" t="s">
        <v>34</v>
      </c>
      <c r="E9" s="41"/>
      <c r="F9" s="41"/>
      <c r="G9" s="41"/>
      <c r="H9" s="41"/>
      <c r="I9" s="41"/>
      <c r="J9" s="41"/>
      <c r="K9" s="44"/>
      <c r="L9" s="122" t="s">
        <v>34</v>
      </c>
      <c r="M9" s="133" t="s">
        <v>64</v>
      </c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</row>
    <row r="10" spans="4:27" ht="16.5" customHeight="1" thickBot="1" x14ac:dyDescent="0.3">
      <c r="D10" s="130"/>
      <c r="E10" s="42"/>
      <c r="F10" s="42"/>
      <c r="G10" s="42"/>
      <c r="H10" s="42"/>
      <c r="I10" s="42"/>
      <c r="J10" s="42"/>
      <c r="K10" s="44"/>
      <c r="L10" s="123"/>
      <c r="M10" s="16">
        <v>70.73</v>
      </c>
      <c r="N10" s="16">
        <v>92.65</v>
      </c>
      <c r="O10" s="16">
        <v>100</v>
      </c>
      <c r="P10" s="16">
        <v>70.73</v>
      </c>
      <c r="Q10" s="16">
        <v>92.65</v>
      </c>
      <c r="R10" s="16">
        <v>100</v>
      </c>
      <c r="S10" s="116">
        <v>70.73</v>
      </c>
      <c r="T10" s="117"/>
      <c r="U10" s="132">
        <v>92.65</v>
      </c>
      <c r="V10" s="105"/>
      <c r="W10" s="116">
        <v>100</v>
      </c>
      <c r="X10" s="117"/>
      <c r="Y10" s="15">
        <v>70.73</v>
      </c>
      <c r="Z10" s="15">
        <v>92.65</v>
      </c>
      <c r="AA10" s="15">
        <v>100</v>
      </c>
    </row>
    <row r="11" spans="4:27" ht="15" customHeight="1" thickBot="1" x14ac:dyDescent="0.3">
      <c r="D11" s="130"/>
      <c r="E11" s="120" t="s">
        <v>36</v>
      </c>
      <c r="F11" s="121"/>
      <c r="G11" s="121"/>
      <c r="H11" s="120" t="s">
        <v>52</v>
      </c>
      <c r="I11" s="121"/>
      <c r="J11" s="121"/>
      <c r="K11" s="76"/>
      <c r="L11" s="123"/>
      <c r="M11" s="113" t="s">
        <v>65</v>
      </c>
      <c r="N11" s="108"/>
      <c r="O11" s="108"/>
      <c r="P11" s="115" t="s">
        <v>66</v>
      </c>
      <c r="Q11" s="108"/>
      <c r="R11" s="108"/>
      <c r="S11" s="115" t="s">
        <v>67</v>
      </c>
      <c r="T11" s="108"/>
      <c r="U11" s="108"/>
      <c r="V11" s="108"/>
      <c r="W11" s="108"/>
      <c r="X11" s="108"/>
      <c r="Y11" s="114" t="s">
        <v>68</v>
      </c>
      <c r="Z11" s="108"/>
      <c r="AA11" s="108"/>
    </row>
    <row r="12" spans="4:27" ht="15.75" customHeight="1" thickBot="1" x14ac:dyDescent="0.3">
      <c r="D12" s="131"/>
      <c r="E12" s="126" t="s">
        <v>38</v>
      </c>
      <c r="F12" s="100"/>
      <c r="G12" s="127"/>
      <c r="H12" s="126" t="s">
        <v>53</v>
      </c>
      <c r="I12" s="100"/>
      <c r="J12" s="127"/>
      <c r="K12" s="44"/>
      <c r="L12" s="123"/>
      <c r="M12" s="119" t="s">
        <v>69</v>
      </c>
      <c r="N12" s="105"/>
      <c r="O12" s="105"/>
      <c r="P12" s="128" t="s">
        <v>70</v>
      </c>
      <c r="Q12" s="105"/>
      <c r="R12" s="105"/>
      <c r="S12" s="128" t="s">
        <v>69</v>
      </c>
      <c r="T12" s="105"/>
      <c r="U12" s="105"/>
      <c r="V12" s="105"/>
      <c r="W12" s="105"/>
      <c r="X12" s="105"/>
      <c r="Y12" s="125" t="s">
        <v>69</v>
      </c>
      <c r="Z12" s="105"/>
      <c r="AA12" s="105"/>
    </row>
    <row r="13" spans="4:27" ht="29.25" customHeight="1" thickBot="1" x14ac:dyDescent="0.3">
      <c r="D13" s="43" t="s">
        <v>64</v>
      </c>
      <c r="E13" s="41">
        <v>70.73</v>
      </c>
      <c r="F13" s="41">
        <v>92.65</v>
      </c>
      <c r="G13" s="44">
        <v>100</v>
      </c>
      <c r="H13" s="41">
        <v>70.73</v>
      </c>
      <c r="I13" s="41">
        <v>92.65</v>
      </c>
      <c r="J13" s="44">
        <v>100</v>
      </c>
      <c r="K13" s="77"/>
      <c r="L13" s="124"/>
      <c r="M13" s="118"/>
      <c r="N13" s="102"/>
      <c r="O13" s="102"/>
      <c r="P13" s="118"/>
      <c r="Q13" s="102"/>
      <c r="R13" s="102"/>
      <c r="S13" s="83" t="s">
        <v>71</v>
      </c>
      <c r="T13" s="84" t="s">
        <v>72</v>
      </c>
      <c r="U13" s="83" t="s">
        <v>71</v>
      </c>
      <c r="V13" s="84" t="s">
        <v>72</v>
      </c>
      <c r="W13" s="83" t="s">
        <v>71</v>
      </c>
      <c r="X13" s="84" t="s">
        <v>72</v>
      </c>
      <c r="Y13" s="46"/>
      <c r="Z13" s="20"/>
      <c r="AA13" s="20"/>
    </row>
    <row r="14" spans="4:27" ht="15.75" customHeight="1" x14ac:dyDescent="0.25">
      <c r="D14" s="47">
        <v>1</v>
      </c>
      <c r="E14" s="48">
        <v>162</v>
      </c>
      <c r="F14" s="48">
        <v>172</v>
      </c>
      <c r="G14" s="49">
        <v>177</v>
      </c>
      <c r="H14" s="92"/>
      <c r="I14" s="92"/>
      <c r="J14" s="92"/>
      <c r="K14" s="50">
        <v>1.3</v>
      </c>
      <c r="L14" s="51">
        <v>1</v>
      </c>
      <c r="M14" s="78">
        <f>1.3*(E14-25)</f>
        <v>178.1</v>
      </c>
      <c r="N14" s="78">
        <f>1.3*(F14-25)</f>
        <v>191.1</v>
      </c>
      <c r="O14" s="78">
        <f>1.3*(G14-25)</f>
        <v>197.6</v>
      </c>
      <c r="P14" s="93">
        <f>1.3*LN((273.15+E14)/(273.15+25))</f>
        <v>0.49152230876633013</v>
      </c>
      <c r="Q14" s="93">
        <f>1.3*LN((273.15+F14)/(273.15+25))</f>
        <v>0.5210589649857349</v>
      </c>
      <c r="R14" s="93">
        <f>1.3*LN((273.15+G14)/(273.15+25))</f>
        <v>0.5355793884809823</v>
      </c>
      <c r="S14" s="81">
        <f>(1.0401+0.1728*0.7714+0.0432*0.0836+0.2169*0.0054)*26.88*10^3</f>
        <v>31669.497215999996</v>
      </c>
      <c r="T14" s="82">
        <f t="shared" ref="T14:T21" si="0">(M14-298.15*P14)</f>
        <v>31.552623641318689</v>
      </c>
      <c r="U14" s="81">
        <f>(1.0401+0.1728*0.7714+0.0432*0.0836+0.2169*0.0054)*26.88*10^3</f>
        <v>31669.497215999996</v>
      </c>
      <c r="V14" s="82">
        <f t="shared" ref="V14:V21" si="1">(N14-298.15*Q14)</f>
        <v>35.746269589503157</v>
      </c>
      <c r="W14" s="81">
        <f>(1.0401+0.1728*0.7714+0.0432*0.0836+0.2169*0.0054)*26.88*10^3</f>
        <v>31669.497215999996</v>
      </c>
      <c r="X14" s="82">
        <f t="shared" ref="X14:X21" si="2">(O14-298.15*R14)</f>
        <v>37.91700532439512</v>
      </c>
      <c r="Y14" s="80">
        <f t="shared" ref="Y14:Y26" si="3">S14+T14</f>
        <v>31701.049839641313</v>
      </c>
      <c r="Z14" s="80">
        <f t="shared" ref="Z14:Z26" si="4">U14+V14</f>
        <v>31705.243485589501</v>
      </c>
      <c r="AA14" s="80">
        <f t="shared" ref="AA14:AA26" si="5">W14+X14</f>
        <v>31707.41422132439</v>
      </c>
    </row>
    <row r="15" spans="4:27" ht="15.75" customHeight="1" x14ac:dyDescent="0.25">
      <c r="D15" s="47">
        <v>2</v>
      </c>
      <c r="E15" s="48">
        <v>162</v>
      </c>
      <c r="F15" s="48">
        <v>172</v>
      </c>
      <c r="G15" s="49">
        <v>177</v>
      </c>
      <c r="H15" s="92"/>
      <c r="I15" s="92"/>
      <c r="J15" s="92"/>
      <c r="K15" s="50">
        <v>1.0049999999999999</v>
      </c>
      <c r="L15" s="51">
        <v>2</v>
      </c>
      <c r="M15" s="78">
        <f>1.005*(E15-25)</f>
        <v>137.68499999999997</v>
      </c>
      <c r="N15" s="78">
        <f>1.005*(F15-25)</f>
        <v>147.73499999999999</v>
      </c>
      <c r="O15" s="78">
        <f>1.005*(G15-25)</f>
        <v>152.76</v>
      </c>
      <c r="P15" s="93">
        <f>1.005*LN((273.15+E15)/(273.15+25))</f>
        <v>0.3799845540847398</v>
      </c>
      <c r="Q15" s="93">
        <f>1.005*LN((273.15+F15)/(273.15+25))</f>
        <v>0.40281866139281808</v>
      </c>
      <c r="R15" s="93">
        <f>1.005*LN((273.15+G15)/(273.15+25))</f>
        <v>0.41404406571029778</v>
      </c>
      <c r="S15" s="78">
        <v>0</v>
      </c>
      <c r="T15" s="78">
        <f t="shared" si="0"/>
        <v>24.392605199634815</v>
      </c>
      <c r="U15" s="78">
        <v>0</v>
      </c>
      <c r="V15" s="78">
        <f t="shared" si="1"/>
        <v>27.634616105731283</v>
      </c>
      <c r="W15" s="78">
        <v>0</v>
      </c>
      <c r="X15" s="78">
        <f t="shared" si="2"/>
        <v>29.312761808474718</v>
      </c>
      <c r="Y15" s="80">
        <f t="shared" si="3"/>
        <v>24.392605199634815</v>
      </c>
      <c r="Z15" s="80">
        <f t="shared" si="4"/>
        <v>27.634616105731283</v>
      </c>
      <c r="AA15" s="80">
        <f t="shared" si="5"/>
        <v>29.312761808474718</v>
      </c>
    </row>
    <row r="16" spans="4:27" ht="15.75" customHeight="1" x14ac:dyDescent="0.25">
      <c r="D16" s="47">
        <v>3</v>
      </c>
      <c r="E16" s="48">
        <v>952</v>
      </c>
      <c r="F16" s="48">
        <v>1043</v>
      </c>
      <c r="G16" s="49">
        <v>1070</v>
      </c>
      <c r="H16" s="92"/>
      <c r="I16" s="92"/>
      <c r="J16" s="92"/>
      <c r="K16" s="50">
        <v>1</v>
      </c>
      <c r="L16" s="51">
        <v>3</v>
      </c>
      <c r="M16" s="78">
        <f>1*(E16-25)</f>
        <v>927</v>
      </c>
      <c r="N16" s="78">
        <f>1*(F16-25)</f>
        <v>1018</v>
      </c>
      <c r="O16" s="78">
        <f>1*(G16-25)</f>
        <v>1045</v>
      </c>
      <c r="P16" s="93">
        <f>1*LN((273.15+E16)/(273.15+25))</f>
        <v>1.4132218488930399</v>
      </c>
      <c r="Q16" s="93">
        <f>1*LN((273.15+F16)/(273.15+25))</f>
        <v>1.4848693715836381</v>
      </c>
      <c r="R16" s="93">
        <f>1*LN((273.15+G16)/(273.15+25))</f>
        <v>1.5051761649629503</v>
      </c>
      <c r="S16" s="78">
        <v>0</v>
      </c>
      <c r="T16" s="78">
        <f t="shared" si="0"/>
        <v>505.64790575254017</v>
      </c>
      <c r="U16" s="78">
        <v>0</v>
      </c>
      <c r="V16" s="78">
        <f t="shared" si="1"/>
        <v>575.28619686233833</v>
      </c>
      <c r="W16" s="78">
        <v>0</v>
      </c>
      <c r="X16" s="78">
        <f t="shared" si="2"/>
        <v>596.2317264162964</v>
      </c>
      <c r="Y16" s="80">
        <f t="shared" si="3"/>
        <v>505.64790575254017</v>
      </c>
      <c r="Z16" s="80">
        <f t="shared" si="4"/>
        <v>575.28619686233833</v>
      </c>
      <c r="AA16" s="80">
        <f t="shared" si="5"/>
        <v>596.2317264162964</v>
      </c>
    </row>
    <row r="17" spans="2:27" ht="15.75" customHeight="1" x14ac:dyDescent="0.25">
      <c r="D17" s="47">
        <v>4</v>
      </c>
      <c r="E17" s="48">
        <v>952</v>
      </c>
      <c r="F17" s="48">
        <v>1043</v>
      </c>
      <c r="G17" s="49">
        <v>1070</v>
      </c>
      <c r="H17" s="92"/>
      <c r="I17" s="92"/>
      <c r="J17" s="92"/>
      <c r="K17" s="50"/>
      <c r="L17" s="51">
        <v>4</v>
      </c>
      <c r="M17" s="78">
        <v>1124.499836</v>
      </c>
      <c r="N17" s="78">
        <v>1242.4033710000001</v>
      </c>
      <c r="O17" s="78">
        <v>1276.634681</v>
      </c>
      <c r="P17" s="93">
        <v>1.75495651</v>
      </c>
      <c r="Q17" s="93">
        <v>1.8525424100000001</v>
      </c>
      <c r="R17" s="93">
        <v>1.878280670000001</v>
      </c>
      <c r="S17" s="78">
        <v>55.758677045512712</v>
      </c>
      <c r="T17" s="78">
        <f t="shared" si="0"/>
        <v>601.25955254350004</v>
      </c>
      <c r="U17" s="78">
        <v>58.161969245818803</v>
      </c>
      <c r="V17" s="78">
        <f t="shared" si="1"/>
        <v>690.06785145850017</v>
      </c>
      <c r="W17" s="78">
        <v>58.161969245818803</v>
      </c>
      <c r="X17" s="78">
        <f t="shared" si="2"/>
        <v>716.62529923949978</v>
      </c>
      <c r="Y17" s="80">
        <f t="shared" si="3"/>
        <v>657.01822958901278</v>
      </c>
      <c r="Z17" s="80">
        <f t="shared" si="4"/>
        <v>748.22982070431897</v>
      </c>
      <c r="AA17" s="80">
        <f t="shared" si="5"/>
        <v>774.78726848531858</v>
      </c>
    </row>
    <row r="18" spans="2:27" ht="15.75" customHeight="1" x14ac:dyDescent="0.25">
      <c r="D18" s="47">
        <v>5</v>
      </c>
      <c r="E18" s="48">
        <v>573</v>
      </c>
      <c r="F18" s="48">
        <v>634</v>
      </c>
      <c r="G18" s="49">
        <v>656</v>
      </c>
      <c r="H18" s="92"/>
      <c r="I18" s="92"/>
      <c r="J18" s="92"/>
      <c r="K18" s="50"/>
      <c r="L18" s="51">
        <v>5</v>
      </c>
      <c r="M18" s="78">
        <v>665.44944400000008</v>
      </c>
      <c r="N18" s="78">
        <v>739.89247599999999</v>
      </c>
      <c r="O18" s="78">
        <v>765.99476899999991</v>
      </c>
      <c r="P18" s="93">
        <v>1.3076141099999989</v>
      </c>
      <c r="Q18" s="93">
        <v>1.396202150000001</v>
      </c>
      <c r="R18" s="93">
        <v>1.4246793900000001</v>
      </c>
      <c r="S18" s="78">
        <v>55.758677045512712</v>
      </c>
      <c r="T18" s="78">
        <f t="shared" si="0"/>
        <v>275.58429710350043</v>
      </c>
      <c r="U18" s="78">
        <v>58.161969245818803</v>
      </c>
      <c r="V18" s="78">
        <f t="shared" si="1"/>
        <v>323.61480497749972</v>
      </c>
      <c r="W18" s="78">
        <v>58.161969245818803</v>
      </c>
      <c r="X18" s="78">
        <f t="shared" si="2"/>
        <v>341.22660887149993</v>
      </c>
      <c r="Y18" s="80">
        <f t="shared" si="3"/>
        <v>331.34297414901312</v>
      </c>
      <c r="Z18" s="80">
        <f t="shared" si="4"/>
        <v>381.77677422331851</v>
      </c>
      <c r="AA18" s="80">
        <f t="shared" si="5"/>
        <v>399.38857811731873</v>
      </c>
    </row>
    <row r="19" spans="2:27" ht="15.75" customHeight="1" x14ac:dyDescent="0.25">
      <c r="D19" s="52">
        <v>6</v>
      </c>
      <c r="E19" s="48">
        <v>564</v>
      </c>
      <c r="F19" s="48">
        <v>625</v>
      </c>
      <c r="G19" s="49">
        <v>646</v>
      </c>
      <c r="H19" s="92"/>
      <c r="I19" s="92"/>
      <c r="J19" s="92"/>
      <c r="K19" s="50"/>
      <c r="L19" s="53">
        <v>6</v>
      </c>
      <c r="M19" s="78">
        <v>654.95198600000003</v>
      </c>
      <c r="N19" s="78">
        <v>729.23383199999989</v>
      </c>
      <c r="O19" s="78">
        <v>754.115092</v>
      </c>
      <c r="P19" s="93">
        <v>1.2950919299999999</v>
      </c>
      <c r="Q19" s="93">
        <v>1.3844158600000009</v>
      </c>
      <c r="R19" s="93">
        <v>1.41177782</v>
      </c>
      <c r="S19" s="78">
        <v>55.758677045512712</v>
      </c>
      <c r="T19" s="78">
        <f t="shared" si="0"/>
        <v>268.82032707050007</v>
      </c>
      <c r="U19" s="78">
        <v>58.161969245818803</v>
      </c>
      <c r="V19" s="78">
        <f t="shared" si="1"/>
        <v>316.47024334099962</v>
      </c>
      <c r="W19" s="78">
        <v>58.161969245818803</v>
      </c>
      <c r="X19" s="78">
        <f t="shared" si="2"/>
        <v>333.19353496700006</v>
      </c>
      <c r="Y19" s="80">
        <f t="shared" si="3"/>
        <v>324.57900411601281</v>
      </c>
      <c r="Z19" s="80">
        <f t="shared" si="4"/>
        <v>374.63221258681841</v>
      </c>
      <c r="AA19" s="80">
        <f t="shared" si="5"/>
        <v>391.35550421281886</v>
      </c>
    </row>
    <row r="20" spans="2:27" ht="15.75" customHeight="1" x14ac:dyDescent="0.25">
      <c r="D20" s="54">
        <v>7</v>
      </c>
      <c r="E20" s="48">
        <v>225</v>
      </c>
      <c r="F20" s="48">
        <v>235</v>
      </c>
      <c r="G20" s="49">
        <v>244</v>
      </c>
      <c r="H20" s="92"/>
      <c r="I20" s="92"/>
      <c r="J20" s="92"/>
      <c r="K20" s="50"/>
      <c r="L20" s="55">
        <v>7</v>
      </c>
      <c r="M20" s="79">
        <v>276.49793999999991</v>
      </c>
      <c r="N20" s="78">
        <v>289.49678599999999</v>
      </c>
      <c r="O20" s="78">
        <v>299.14895800000011</v>
      </c>
      <c r="P20" s="93">
        <v>0.7177893399999995</v>
      </c>
      <c r="Q20" s="93">
        <v>0.74521632999999987</v>
      </c>
      <c r="R20" s="93">
        <v>0.76407198000000065</v>
      </c>
      <c r="S20" s="78">
        <v>55.758677045512712</v>
      </c>
      <c r="T20" s="78">
        <f t="shared" si="0"/>
        <v>62.489048279000087</v>
      </c>
      <c r="U20" s="78">
        <v>58.161969245818803</v>
      </c>
      <c r="V20" s="78">
        <f t="shared" si="1"/>
        <v>67.31053721050003</v>
      </c>
      <c r="W20" s="78">
        <v>58.161969245818803</v>
      </c>
      <c r="X20" s="78">
        <f t="shared" si="2"/>
        <v>71.340897162999937</v>
      </c>
      <c r="Y20" s="80">
        <f t="shared" si="3"/>
        <v>118.2477253245128</v>
      </c>
      <c r="Z20" s="80">
        <f t="shared" si="4"/>
        <v>125.47250645631883</v>
      </c>
      <c r="AA20" s="80">
        <f t="shared" si="5"/>
        <v>129.50286640881873</v>
      </c>
    </row>
    <row r="21" spans="2:27" ht="16.5" customHeight="1" thickBot="1" x14ac:dyDescent="0.3">
      <c r="D21" s="56">
        <v>8</v>
      </c>
      <c r="E21" s="57">
        <v>117</v>
      </c>
      <c r="F21" s="57">
        <v>131</v>
      </c>
      <c r="G21" s="58">
        <v>138</v>
      </c>
      <c r="H21" s="92"/>
      <c r="I21" s="92"/>
      <c r="J21" s="92"/>
      <c r="K21" s="59"/>
      <c r="L21" s="60">
        <v>8</v>
      </c>
      <c r="M21" s="78">
        <v>162.48747900000001</v>
      </c>
      <c r="N21" s="78">
        <v>179.355716</v>
      </c>
      <c r="O21" s="78">
        <v>186.69259199999999</v>
      </c>
      <c r="P21" s="93">
        <v>0.45992951999999931</v>
      </c>
      <c r="Q21" s="93">
        <v>0.50279972000000051</v>
      </c>
      <c r="R21" s="93">
        <v>0.52081681000000035</v>
      </c>
      <c r="S21" s="78">
        <v>55.758677045512712</v>
      </c>
      <c r="T21" s="78">
        <f t="shared" si="0"/>
        <v>25.359492612000224</v>
      </c>
      <c r="U21" s="78">
        <v>58.161969245818803</v>
      </c>
      <c r="V21" s="78">
        <f t="shared" si="1"/>
        <v>29.445979481999871</v>
      </c>
      <c r="W21" s="78">
        <v>58.161969245818803</v>
      </c>
      <c r="X21" s="78">
        <f t="shared" si="2"/>
        <v>31.411060098499888</v>
      </c>
      <c r="Y21" s="80">
        <f t="shared" si="3"/>
        <v>81.118169657512937</v>
      </c>
      <c r="Z21" s="80">
        <f t="shared" si="4"/>
        <v>87.607948727818666</v>
      </c>
      <c r="AA21" s="80">
        <f t="shared" si="5"/>
        <v>89.573029344318684</v>
      </c>
    </row>
    <row r="22" spans="2:27" ht="15.75" customHeight="1" x14ac:dyDescent="0.25">
      <c r="B22" s="12" t="s">
        <v>73</v>
      </c>
      <c r="C22" s="12" t="s">
        <v>74</v>
      </c>
      <c r="D22" s="61">
        <v>9</v>
      </c>
      <c r="E22" s="62">
        <v>170</v>
      </c>
      <c r="F22" s="62">
        <v>187</v>
      </c>
      <c r="G22" s="63">
        <v>188</v>
      </c>
      <c r="H22" s="94">
        <v>6.7169999999999996</v>
      </c>
      <c r="I22" s="94">
        <v>6.7389999999999999</v>
      </c>
      <c r="J22" s="95">
        <v>6.75</v>
      </c>
      <c r="K22" s="64"/>
      <c r="L22" s="65">
        <v>9</v>
      </c>
      <c r="M22" s="78">
        <v>719.04</v>
      </c>
      <c r="N22" s="78">
        <v>793.92</v>
      </c>
      <c r="O22" s="78">
        <v>798.38</v>
      </c>
      <c r="P22" s="47">
        <v>2.0261999999999998</v>
      </c>
      <c r="Q22" s="47">
        <v>2.1924000000000001</v>
      </c>
      <c r="R22" s="47">
        <v>2.2021000000000002</v>
      </c>
      <c r="S22" s="79">
        <v>50</v>
      </c>
      <c r="T22" s="79">
        <f>(M22-104.92)-298*(P22-0.3672)</f>
        <v>119.73800000000006</v>
      </c>
      <c r="U22" s="79">
        <v>50</v>
      </c>
      <c r="V22" s="79">
        <f>(N22-104.92)-298*(Q22-0.3672)</f>
        <v>145.09039999999993</v>
      </c>
      <c r="W22" s="79">
        <v>50</v>
      </c>
      <c r="X22" s="79">
        <f>(O22-104.92)-298*(R22-0.3672)</f>
        <v>146.65980000000002</v>
      </c>
      <c r="Y22" s="80">
        <f t="shared" si="3"/>
        <v>169.73800000000006</v>
      </c>
      <c r="Z22" s="80">
        <f t="shared" si="4"/>
        <v>195.09039999999993</v>
      </c>
      <c r="AA22" s="80">
        <f t="shared" si="5"/>
        <v>196.65980000000002</v>
      </c>
    </row>
    <row r="23" spans="2:27" ht="15.75" customHeight="1" x14ac:dyDescent="0.25">
      <c r="C23" s="12"/>
      <c r="D23" s="66">
        <v>10</v>
      </c>
      <c r="E23" s="48">
        <v>258</v>
      </c>
      <c r="F23" s="48">
        <v>266</v>
      </c>
      <c r="G23" s="49">
        <v>271</v>
      </c>
      <c r="H23" s="92">
        <v>6.915</v>
      </c>
      <c r="I23" s="92">
        <v>7.1254799999999996</v>
      </c>
      <c r="J23" s="96">
        <v>7.2309200000000002</v>
      </c>
      <c r="K23" s="50"/>
      <c r="L23" s="55">
        <v>10</v>
      </c>
      <c r="M23" s="78">
        <v>1131.19</v>
      </c>
      <c r="N23" s="78">
        <v>1165.7</v>
      </c>
      <c r="O23" s="78">
        <v>1177.96</v>
      </c>
      <c r="P23" s="93">
        <v>2.8662999999999998</v>
      </c>
      <c r="Q23" s="93">
        <v>2.9302999999999999</v>
      </c>
      <c r="R23" s="93">
        <v>2.9523000000000001</v>
      </c>
      <c r="S23" s="79">
        <v>50</v>
      </c>
      <c r="T23" s="79">
        <f>(M23-104.92)-298*(P23-0.3672)</f>
        <v>281.53820000000007</v>
      </c>
      <c r="U23" s="79">
        <v>50</v>
      </c>
      <c r="V23" s="79">
        <f>(N23-104.92)-298*(Q23-0.3672)</f>
        <v>296.97619999999995</v>
      </c>
      <c r="W23" s="79">
        <v>50</v>
      </c>
      <c r="X23" s="79">
        <f>(O23-104.92)-298*(R23-0.3672)</f>
        <v>302.6801999999999</v>
      </c>
      <c r="Y23" s="80">
        <f t="shared" si="3"/>
        <v>331.53820000000007</v>
      </c>
      <c r="Z23" s="80">
        <f t="shared" si="4"/>
        <v>346.97619999999995</v>
      </c>
      <c r="AA23" s="80">
        <f t="shared" si="5"/>
        <v>352.6801999999999</v>
      </c>
    </row>
    <row r="24" spans="2:27" ht="15.75" customHeight="1" x14ac:dyDescent="0.25">
      <c r="D24" s="66">
        <v>11</v>
      </c>
      <c r="E24" s="67">
        <v>284.14190000000002</v>
      </c>
      <c r="F24" s="67">
        <v>286.38079999999991</v>
      </c>
      <c r="G24" s="68">
        <v>286.47259999999989</v>
      </c>
      <c r="H24" s="92">
        <v>6.83</v>
      </c>
      <c r="I24" s="92">
        <v>7.06</v>
      </c>
      <c r="J24" s="96">
        <v>7.07</v>
      </c>
      <c r="K24" s="50"/>
      <c r="L24" s="55">
        <v>11</v>
      </c>
      <c r="M24" s="78">
        <v>1258.559</v>
      </c>
      <c r="N24" s="78">
        <v>1270.4690000000001</v>
      </c>
      <c r="O24" s="78">
        <v>1270.95</v>
      </c>
      <c r="P24" s="93">
        <v>3.1059999999999999</v>
      </c>
      <c r="Q24" s="93">
        <v>3.1269999999999998</v>
      </c>
      <c r="R24" s="93">
        <v>3.1280000000000001</v>
      </c>
      <c r="S24" s="79">
        <v>50</v>
      </c>
      <c r="T24" s="79">
        <f>(M24-104.92)-298*(P24-0.3672)</f>
        <v>337.47659999999996</v>
      </c>
      <c r="U24" s="79">
        <v>50</v>
      </c>
      <c r="V24" s="79">
        <f>(N24-104.92)-298*(Q24-0.3672)</f>
        <v>343.12860000000001</v>
      </c>
      <c r="W24" s="79">
        <v>50</v>
      </c>
      <c r="X24" s="79">
        <f>(O24-104.92)-298*(R24-0.3672)</f>
        <v>343.31159999999988</v>
      </c>
      <c r="Y24" s="80">
        <f t="shared" si="3"/>
        <v>387.47659999999996</v>
      </c>
      <c r="Z24" s="80">
        <f t="shared" si="4"/>
        <v>393.12860000000001</v>
      </c>
      <c r="AA24" s="80">
        <f t="shared" si="5"/>
        <v>393.31159999999988</v>
      </c>
    </row>
    <row r="25" spans="2:27" ht="15.75" customHeight="1" x14ac:dyDescent="0.25">
      <c r="D25" s="66">
        <v>12</v>
      </c>
      <c r="E25" s="67">
        <v>282.25519999999989</v>
      </c>
      <c r="F25" s="67">
        <v>282.4538</v>
      </c>
      <c r="G25" s="68">
        <v>282.55309999999997</v>
      </c>
      <c r="H25" s="69">
        <v>6.64</v>
      </c>
      <c r="I25" s="69">
        <v>6.66</v>
      </c>
      <c r="J25" s="70">
        <v>6.67</v>
      </c>
      <c r="K25" s="50"/>
      <c r="L25" s="55">
        <v>12</v>
      </c>
      <c r="M25" s="78">
        <v>2777.098</v>
      </c>
      <c r="N25" s="79">
        <v>2776.8620000000001</v>
      </c>
      <c r="O25" s="78">
        <v>2776.7379999999998</v>
      </c>
      <c r="P25" s="93">
        <v>5.8410000000000002</v>
      </c>
      <c r="Q25" s="93">
        <v>5.84</v>
      </c>
      <c r="R25" s="93">
        <v>5.8390000000000004</v>
      </c>
      <c r="S25" s="79">
        <v>50</v>
      </c>
      <c r="T25" s="79">
        <f>(M25-104.92)-298*(P25-0.3672)</f>
        <v>1040.9856</v>
      </c>
      <c r="U25" s="79">
        <v>50</v>
      </c>
      <c r="V25" s="79">
        <f>(N25-104.92)-298*(Q25-0.3672)</f>
        <v>1041.0476000000001</v>
      </c>
      <c r="W25" s="79">
        <v>50</v>
      </c>
      <c r="X25" s="79">
        <f>(O25-104.92)-298*(R25-0.3672)</f>
        <v>1041.2215999999999</v>
      </c>
      <c r="Y25" s="80">
        <f t="shared" si="3"/>
        <v>1090.9856</v>
      </c>
      <c r="Z25" s="80">
        <f t="shared" si="4"/>
        <v>1091.0476000000001</v>
      </c>
      <c r="AA25" s="80">
        <f t="shared" si="5"/>
        <v>1091.2215999999999</v>
      </c>
    </row>
    <row r="26" spans="2:27" ht="16.5" customHeight="1" thickBot="1" x14ac:dyDescent="0.3">
      <c r="D26" s="71">
        <v>13</v>
      </c>
      <c r="E26" s="72">
        <v>490</v>
      </c>
      <c r="F26" s="72">
        <v>490</v>
      </c>
      <c r="G26" s="73">
        <v>490</v>
      </c>
      <c r="H26" s="97">
        <v>6.6</v>
      </c>
      <c r="I26" s="97">
        <v>6.6</v>
      </c>
      <c r="J26" s="98">
        <v>6.6</v>
      </c>
      <c r="K26" s="74"/>
      <c r="L26" s="75">
        <v>13</v>
      </c>
      <c r="M26" s="78">
        <v>3391.692</v>
      </c>
      <c r="N26" s="78">
        <v>3391.692</v>
      </c>
      <c r="O26" s="78">
        <v>3391.692</v>
      </c>
      <c r="P26" s="93">
        <v>6.8004199999999999</v>
      </c>
      <c r="Q26" s="93">
        <v>6.8004199999999999</v>
      </c>
      <c r="R26" s="93">
        <v>6.8004199999999999</v>
      </c>
      <c r="S26" s="79">
        <v>50</v>
      </c>
      <c r="T26" s="79">
        <f>(M26-104.92)-298*(P26-0.3672)</f>
        <v>1369.6724400000001</v>
      </c>
      <c r="U26" s="79">
        <v>50</v>
      </c>
      <c r="V26" s="79">
        <f>(N26-104.92)-298*(Q26-0.3672)</f>
        <v>1369.6724400000001</v>
      </c>
      <c r="W26" s="79">
        <v>50</v>
      </c>
      <c r="X26" s="79">
        <f>(O26-104.92)-298*(R26-0.3672)</f>
        <v>1369.6724400000001</v>
      </c>
      <c r="Y26" s="80">
        <f t="shared" si="3"/>
        <v>1419.6724400000001</v>
      </c>
      <c r="Z26" s="80">
        <f t="shared" si="4"/>
        <v>1419.6724400000001</v>
      </c>
      <c r="AA26" s="80">
        <f t="shared" si="5"/>
        <v>1419.6724400000001</v>
      </c>
    </row>
  </sheetData>
  <mergeCells count="20">
    <mergeCell ref="D9:D12"/>
    <mergeCell ref="S12:X12"/>
    <mergeCell ref="U10:V10"/>
    <mergeCell ref="M9:AA9"/>
    <mergeCell ref="S11:X11"/>
    <mergeCell ref="H11:J11"/>
    <mergeCell ref="L9:L13"/>
    <mergeCell ref="E11:G11"/>
    <mergeCell ref="P13:R13"/>
    <mergeCell ref="Y12:AA12"/>
    <mergeCell ref="H12:J12"/>
    <mergeCell ref="P12:R12"/>
    <mergeCell ref="S10:T10"/>
    <mergeCell ref="E12:G12"/>
    <mergeCell ref="M11:O11"/>
    <mergeCell ref="Y11:AA11"/>
    <mergeCell ref="P11:R11"/>
    <mergeCell ref="W10:X10"/>
    <mergeCell ref="M13:O13"/>
    <mergeCell ref="M12:O1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Table1_Coal_Analysis</vt:lpstr>
      <vt:lpstr>Table2_FlueGas_Composition</vt:lpstr>
      <vt:lpstr>Table3_Massflow_Temp</vt:lpstr>
      <vt:lpstr>Table4_WaterStream_Circuit</vt:lpstr>
      <vt:lpstr>Table5_Enthalpy_Entropy_Exergy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Ohijeagbon, Idehai Olayemi</cp:lastModifiedBy>
  <dcterms:created xsi:type="dcterms:W3CDTF">2015-06-05T18:17:20Z</dcterms:created>
  <dcterms:modified xsi:type="dcterms:W3CDTF">2026-09-15T14:06:17Z</dcterms:modified>
</cp:coreProperties>
</file>